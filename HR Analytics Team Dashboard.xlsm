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C:\Users\Dell\Downloads\"/>
    </mc:Choice>
  </mc:AlternateContent>
  <xr:revisionPtr revIDLastSave="0" documentId="13_ncr:1_{CCD9E1A5-9442-4B1F-8BD8-D1610383FF33}" xr6:coauthVersionLast="47" xr6:coauthVersionMax="47" xr10:uidLastSave="{00000000-0000-0000-0000-000000000000}"/>
  <bookViews>
    <workbookView xWindow="-120" yWindow="-120" windowWidth="20730" windowHeight="11040" xr2:uid="{24ADA2CA-19E0-4F8A-B6D9-8D952DA4A3FC}"/>
  </bookViews>
  <sheets>
    <sheet name="HR Dashboard" sheetId="3" r:id="rId1"/>
    <sheet name="Pivot Table" sheetId="2" r:id="rId2"/>
    <sheet name="Employee Data" sheetId="1" r:id="rId3"/>
  </sheets>
  <definedNames>
    <definedName name="_xlchart.v2.0" hidden="1">'Pivot Table'!$W$17:$W$23</definedName>
    <definedName name="_xlchart.v2.1" hidden="1">'Pivot Table'!$X$16</definedName>
    <definedName name="_xlchart.v2.2" hidden="1">'Pivot Table'!$X$17:$X$23</definedName>
    <definedName name="_xleta.SWITCH" hidden="1" xlm="1">#NAME?</definedName>
    <definedName name="Slicer_Department">#N/A</definedName>
    <definedName name="Slicer_Reporting_Manager">#N/A</definedName>
  </definedNames>
  <calcPr calcId="191029"/>
  <pivotCaches>
    <pivotCache cacheId="11"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 l="1"/>
  <c r="C18" i="2"/>
  <c r="C17" i="2"/>
  <c r="P4"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P15" i="1"/>
  <c r="O15" i="1"/>
  <c r="P14" i="1"/>
  <c r="O14" i="1"/>
  <c r="P13" i="1"/>
  <c r="O13" i="1"/>
  <c r="P12" i="1"/>
  <c r="O12" i="1"/>
  <c r="P11" i="1"/>
  <c r="O11" i="1"/>
  <c r="P10" i="1"/>
  <c r="O10" i="1"/>
  <c r="P9" i="1"/>
  <c r="O9" i="1"/>
  <c r="P8" i="1"/>
  <c r="O8" i="1"/>
  <c r="P7" i="1"/>
  <c r="O7" i="1"/>
  <c r="P6" i="1"/>
  <c r="O6" i="1"/>
  <c r="P5" i="1"/>
  <c r="O5" i="1"/>
  <c r="O4" i="1"/>
  <c r="P3" i="1"/>
  <c r="O3" i="1"/>
  <c r="O2" i="1"/>
  <c r="X21" i="2"/>
  <c r="AE21" i="2"/>
  <c r="P19" i="2"/>
  <c r="T22" i="2"/>
  <c r="G22" i="2"/>
  <c r="H21" i="2"/>
  <c r="T23" i="2"/>
  <c r="G18" i="2"/>
  <c r="X23" i="2"/>
  <c r="AE20" i="2"/>
  <c r="L18" i="2"/>
  <c r="H19" i="2"/>
  <c r="T18" i="2"/>
  <c r="T17" i="2"/>
  <c r="X19" i="2"/>
  <c r="X17" i="2"/>
  <c r="F21" i="2"/>
  <c r="G19" i="2"/>
  <c r="L17" i="2"/>
  <c r="T21" i="2"/>
  <c r="P18" i="2"/>
  <c r="G21" i="2"/>
  <c r="AE17" i="2"/>
  <c r="F19" i="2"/>
  <c r="T20" i="2"/>
  <c r="AE18" i="2"/>
  <c r="H17" i="2"/>
  <c r="F20" i="2"/>
  <c r="T19" i="2"/>
  <c r="AA17" i="2"/>
  <c r="H22" i="2"/>
  <c r="P17" i="2"/>
  <c r="G20" i="2"/>
  <c r="F22" i="2"/>
  <c r="P20" i="2"/>
  <c r="AE19" i="2"/>
  <c r="H18" i="2"/>
  <c r="AA18" i="2"/>
  <c r="X20" i="2"/>
  <c r="H20" i="2"/>
  <c r="F17" i="2"/>
  <c r="X22" i="2"/>
  <c r="X18" i="2"/>
  <c r="F18" i="2"/>
  <c r="G17" i="2"/>
  <c r="AA19" i="2" l="1"/>
  <c r="AB17" i="2" s="1"/>
  <c r="F23" i="2"/>
  <c r="C19" i="2" s="1"/>
  <c r="C20" i="2" s="1"/>
  <c r="L19" i="2"/>
  <c r="M18" i="2" s="1"/>
  <c r="AE22" i="2"/>
  <c r="AF21" i="2" s="1"/>
  <c r="T24" i="2"/>
  <c r="U17" i="2" s="1"/>
  <c r="X24" i="2"/>
  <c r="I17" i="2"/>
  <c r="I18" i="2" s="1"/>
  <c r="I19" i="2" s="1"/>
  <c r="I20" i="2" s="1"/>
  <c r="I21" i="2" s="1"/>
  <c r="I22" i="2" s="1"/>
  <c r="I23" i="2" s="1"/>
  <c r="G23" i="2"/>
  <c r="H23" i="2"/>
  <c r="C21" i="2" s="1"/>
  <c r="P21" i="2"/>
  <c r="Q19" i="2" s="1"/>
  <c r="U23" i="2" l="1"/>
  <c r="U22" i="2"/>
  <c r="Q18" i="2"/>
  <c r="U24" i="2"/>
  <c r="Q20" i="2"/>
  <c r="U21" i="2"/>
  <c r="AB19" i="2"/>
  <c r="U20" i="2"/>
  <c r="AB18" i="2"/>
  <c r="M17" i="2"/>
  <c r="U18" i="2"/>
  <c r="AF20" i="2"/>
  <c r="AF18" i="2"/>
  <c r="U19" i="2"/>
  <c r="AF19" i="2"/>
  <c r="M19" i="2"/>
  <c r="AF22" i="2"/>
  <c r="AF17" i="2"/>
  <c r="Q21" i="2"/>
  <c r="Q17" i="2"/>
</calcChain>
</file>

<file path=xl/sharedStrings.xml><?xml version="1.0" encoding="utf-8"?>
<sst xmlns="http://schemas.openxmlformats.org/spreadsheetml/2006/main" count="1560" uniqueCount="251">
  <si>
    <t>Emp Status</t>
  </si>
  <si>
    <t>On-Board</t>
  </si>
  <si>
    <t>Count of Name</t>
  </si>
  <si>
    <t>Category</t>
  </si>
  <si>
    <t>Grade</t>
  </si>
  <si>
    <t>Department</t>
  </si>
  <si>
    <t>Reporting Manager</t>
  </si>
  <si>
    <t>Emp Type</t>
  </si>
  <si>
    <t>Stability</t>
  </si>
  <si>
    <t>Year</t>
  </si>
  <si>
    <t>Attrition</t>
  </si>
  <si>
    <t>Transfer</t>
  </si>
  <si>
    <t>Total</t>
  </si>
  <si>
    <t>Female</t>
  </si>
  <si>
    <t>Professional</t>
  </si>
  <si>
    <t>Accounting</t>
  </si>
  <si>
    <t>Ryan Simmons</t>
  </si>
  <si>
    <t>Contract</t>
  </si>
  <si>
    <t>2+ years</t>
  </si>
  <si>
    <t>Male</t>
  </si>
  <si>
    <t>Trainees</t>
  </si>
  <si>
    <t>Finance</t>
  </si>
  <si>
    <t>Janelle Wiley</t>
  </si>
  <si>
    <t>Permanent</t>
  </si>
  <si>
    <t>5+ years</t>
  </si>
  <si>
    <t>Management</t>
  </si>
  <si>
    <t>HR</t>
  </si>
  <si>
    <t>Roberta Moyer</t>
  </si>
  <si>
    <t>4+ years</t>
  </si>
  <si>
    <t>Legal</t>
  </si>
  <si>
    <t>Alejandra Mack</t>
  </si>
  <si>
    <t>3+ years</t>
  </si>
  <si>
    <t>Marketing</t>
  </si>
  <si>
    <t>Darryl Leon</t>
  </si>
  <si>
    <t>1+ years</t>
  </si>
  <si>
    <t>Operations</t>
  </si>
  <si>
    <t>Jefferson Perry</t>
  </si>
  <si>
    <t>Sales</t>
  </si>
  <si>
    <t>Geneva Hardy</t>
  </si>
  <si>
    <t>KPI</t>
  </si>
  <si>
    <t>Value</t>
  </si>
  <si>
    <t>Gender</t>
  </si>
  <si>
    <t>Head Count</t>
  </si>
  <si>
    <t>HC %</t>
  </si>
  <si>
    <t>HC</t>
  </si>
  <si>
    <t>Dept</t>
  </si>
  <si>
    <t>Managers</t>
  </si>
  <si>
    <t>HC Reporting</t>
  </si>
  <si>
    <t>Overall HC</t>
  </si>
  <si>
    <t>Active HC</t>
  </si>
  <si>
    <t>Attrition %</t>
  </si>
  <si>
    <t xml:space="preserve"> </t>
  </si>
  <si>
    <t>Movement</t>
  </si>
  <si>
    <t>Emp Id</t>
  </si>
  <si>
    <t>Name</t>
  </si>
  <si>
    <t>Date of Joining</t>
  </si>
  <si>
    <t>Data of Relieving</t>
  </si>
  <si>
    <t>Date of Birth</t>
  </si>
  <si>
    <t>Marital status</t>
  </si>
  <si>
    <t>Total Experience</t>
  </si>
  <si>
    <t>IJP</t>
  </si>
  <si>
    <t>CT18807</t>
  </si>
  <si>
    <t>Adrian Odonnell</t>
  </si>
  <si>
    <t>Single</t>
  </si>
  <si>
    <t>CT12674</t>
  </si>
  <si>
    <t>Marina Velazquez</t>
  </si>
  <si>
    <t>Married</t>
  </si>
  <si>
    <t>CT11735</t>
  </si>
  <si>
    <t>Regina Schaefer</t>
  </si>
  <si>
    <t>CT10131</t>
  </si>
  <si>
    <t>Donna Sparks</t>
  </si>
  <si>
    <t>CT16953</t>
  </si>
  <si>
    <t>Sal Glass</t>
  </si>
  <si>
    <t>CT11213</t>
  </si>
  <si>
    <t>Malik Schneider</t>
  </si>
  <si>
    <t>CT17933</t>
  </si>
  <si>
    <t>Fanny Hampton</t>
  </si>
  <si>
    <t>CT17253</t>
  </si>
  <si>
    <t>Edison York</t>
  </si>
  <si>
    <t>CT14693</t>
  </si>
  <si>
    <t>Geraldo Pugh</t>
  </si>
  <si>
    <t>CT11465</t>
  </si>
  <si>
    <t>Ellis Best</t>
  </si>
  <si>
    <t>CT12948</t>
  </si>
  <si>
    <t>Olen Walter</t>
  </si>
  <si>
    <t>CT11145</t>
  </si>
  <si>
    <t>Mckinley Baird</t>
  </si>
  <si>
    <t>CT18269</t>
  </si>
  <si>
    <t>Maura Huynh</t>
  </si>
  <si>
    <t>CT13931</t>
  </si>
  <si>
    <t>Buster Joyce</t>
  </si>
  <si>
    <t>CT15252</t>
  </si>
  <si>
    <t>Rosanna Bauer</t>
  </si>
  <si>
    <t>CT13664</t>
  </si>
  <si>
    <t>Marion Harmon</t>
  </si>
  <si>
    <t>CT10043</t>
  </si>
  <si>
    <t>Shawn Ross</t>
  </si>
  <si>
    <t>CT16547</t>
  </si>
  <si>
    <t>Houston Wilson</t>
  </si>
  <si>
    <t>CT11188</t>
  </si>
  <si>
    <t>Maricela Gates</t>
  </si>
  <si>
    <t>CT14537</t>
  </si>
  <si>
    <t>Fletcher Tate</t>
  </si>
  <si>
    <t>CT14690</t>
  </si>
  <si>
    <t>Emily Davis</t>
  </si>
  <si>
    <t>CT16195</t>
  </si>
  <si>
    <t>Penelope Jordan</t>
  </si>
  <si>
    <t>CT16735</t>
  </si>
  <si>
    <t>Alfredo Mcclain</t>
  </si>
  <si>
    <t>Preston Case</t>
  </si>
  <si>
    <t>Branden Kaiser</t>
  </si>
  <si>
    <t>Julia Bell</t>
  </si>
  <si>
    <t>Sammy Hancock</t>
  </si>
  <si>
    <t>Mabel Cuevas</t>
  </si>
  <si>
    <t>Norris Madden</t>
  </si>
  <si>
    <t>Vincenzo Mcdowell</t>
  </si>
  <si>
    <t>Chris Mcbride</t>
  </si>
  <si>
    <t>Wesley Berger</t>
  </si>
  <si>
    <t>Bart Sims</t>
  </si>
  <si>
    <t>Tricia Arroyo</t>
  </si>
  <si>
    <t>Kennith Barber</t>
  </si>
  <si>
    <t>Alonzo Harrison</t>
  </si>
  <si>
    <t>Kirk Wagner</t>
  </si>
  <si>
    <t>Zackary Tucker</t>
  </si>
  <si>
    <t>Roberto Ford</t>
  </si>
  <si>
    <t>Sadie Mcmahon</t>
  </si>
  <si>
    <t>Darla Parks</t>
  </si>
  <si>
    <t>Letitia Church</t>
  </si>
  <si>
    <t>Collin Paul</t>
  </si>
  <si>
    <t>Frances Leblanc</t>
  </si>
  <si>
    <t>Alexis Conway</t>
  </si>
  <si>
    <t>Chi Preston</t>
  </si>
  <si>
    <t>Randolph Reilly</t>
  </si>
  <si>
    <t>Howard Wiggins</t>
  </si>
  <si>
    <t>Palmer Hart</t>
  </si>
  <si>
    <t>Lesa Terrell</t>
  </si>
  <si>
    <t>Celeste Moses</t>
  </si>
  <si>
    <t>Leanne Mosley</t>
  </si>
  <si>
    <t>Renaldo Navarro</t>
  </si>
  <si>
    <t>Sonia Ortiz</t>
  </si>
  <si>
    <t>Faith Lopez</t>
  </si>
  <si>
    <t>Kim Ramirez</t>
  </si>
  <si>
    <t>Mariana Chavez</t>
  </si>
  <si>
    <t>Tracey Burch</t>
  </si>
  <si>
    <t>Gabriela Juarez</t>
  </si>
  <si>
    <t>Katheryn Trevino</t>
  </si>
  <si>
    <t>Angelita Townsend</t>
  </si>
  <si>
    <t>Damon Burgess</t>
  </si>
  <si>
    <t>Olen Watts</t>
  </si>
  <si>
    <t>Raymond Levine</t>
  </si>
  <si>
    <t>Sally Hinton</t>
  </si>
  <si>
    <t>Katelyn Ware</t>
  </si>
  <si>
    <t>Jessie Bowen</t>
  </si>
  <si>
    <t>Mac Marquez</t>
  </si>
  <si>
    <t>OnRoll</t>
  </si>
  <si>
    <t>Spencer Webb</t>
  </si>
  <si>
    <t>Valentin Mcdonald</t>
  </si>
  <si>
    <t>Royce Schneider</t>
  </si>
  <si>
    <t>Kara Mclean</t>
  </si>
  <si>
    <t>Damian Mckee</t>
  </si>
  <si>
    <t>Mohamed Duran</t>
  </si>
  <si>
    <t>Vera Harvey</t>
  </si>
  <si>
    <t>Cristina David</t>
  </si>
  <si>
    <t>Florence Randall</t>
  </si>
  <si>
    <t>Andrea Logan</t>
  </si>
  <si>
    <t>Barrett Wallace</t>
  </si>
  <si>
    <t>Claude Ramsey</t>
  </si>
  <si>
    <t>Mason Wells</t>
  </si>
  <si>
    <t>Whitney Vance</t>
  </si>
  <si>
    <t>Bobbie Harvey</t>
  </si>
  <si>
    <t>Russel Fox</t>
  </si>
  <si>
    <t>Benita Holland</t>
  </si>
  <si>
    <t>Cory Leblanc</t>
  </si>
  <si>
    <t>Isaiah George</t>
  </si>
  <si>
    <t>Brad Nichols</t>
  </si>
  <si>
    <t>Quentin Mcdonald</t>
  </si>
  <si>
    <t>Johnie Pruitt</t>
  </si>
  <si>
    <t>Walker Whitney</t>
  </si>
  <si>
    <t>Alexander Fowler</t>
  </si>
  <si>
    <t>Susanna Humphrey</t>
  </si>
  <si>
    <t>Beth Lowe</t>
  </si>
  <si>
    <t>Casandra Aguilar</t>
  </si>
  <si>
    <t>Lynn Andersen</t>
  </si>
  <si>
    <t>Leola Vega</t>
  </si>
  <si>
    <t>Hillary Spencer</t>
  </si>
  <si>
    <t>Joesph Jones</t>
  </si>
  <si>
    <t>Otha May</t>
  </si>
  <si>
    <t>Ophelia Black</t>
  </si>
  <si>
    <t>Helena Williamson</t>
  </si>
  <si>
    <t>Megan Kent</t>
  </si>
  <si>
    <t>Rufus Escobar</t>
  </si>
  <si>
    <t>Ericka Hurst</t>
  </si>
  <si>
    <t>Johnny Cisneros</t>
  </si>
  <si>
    <t>Alba Norton</t>
  </si>
  <si>
    <t>Sanford Patterson</t>
  </si>
  <si>
    <t>Blanche Greer</t>
  </si>
  <si>
    <t>Nita Powers</t>
  </si>
  <si>
    <t>Francesco Blanchard</t>
  </si>
  <si>
    <t>Elias Davis</t>
  </si>
  <si>
    <t>Lucio Christian</t>
  </si>
  <si>
    <t>Greg Schaefer</t>
  </si>
  <si>
    <t>Adriana Little</t>
  </si>
  <si>
    <t>Abdul Khan</t>
  </si>
  <si>
    <t>Marissa Mckee</t>
  </si>
  <si>
    <t>Ashlee Ortega</t>
  </si>
  <si>
    <t>Edmund Lawson</t>
  </si>
  <si>
    <t>Linda Jacobs</t>
  </si>
  <si>
    <t>Kelley Harding</t>
  </si>
  <si>
    <t>Rose Carney</t>
  </si>
  <si>
    <t>Emery Goodwin</t>
  </si>
  <si>
    <t>Derick Singh</t>
  </si>
  <si>
    <t>Hassan Wilcox</t>
  </si>
  <si>
    <t>Natalie Serrano</t>
  </si>
  <si>
    <t>Sandy Singleton</t>
  </si>
  <si>
    <t>Josiah Hart</t>
  </si>
  <si>
    <t>Wayne Hartman</t>
  </si>
  <si>
    <t>Sallie Carpenter</t>
  </si>
  <si>
    <t>Allen Walters</t>
  </si>
  <si>
    <t>Flora Bass</t>
  </si>
  <si>
    <t>Roberto Harper</t>
  </si>
  <si>
    <t>Isabella Miles</t>
  </si>
  <si>
    <t>Consuelo Beck</t>
  </si>
  <si>
    <t>Barney Velasquez</t>
  </si>
  <si>
    <t>Jamaal Delgado</t>
  </si>
  <si>
    <t>Glenda Ayers</t>
  </si>
  <si>
    <t>Vonda Chandler</t>
  </si>
  <si>
    <t>Elma Perkins</t>
  </si>
  <si>
    <t>Irving Good</t>
  </si>
  <si>
    <t>Carlo Stephens</t>
  </si>
  <si>
    <t>Fermin Maddox</t>
  </si>
  <si>
    <t>Wendell Bonilla</t>
  </si>
  <si>
    <t>Hank Copeland</t>
  </si>
  <si>
    <t>Luciano Arnold</t>
  </si>
  <si>
    <t>Aimee Freeman</t>
  </si>
  <si>
    <t>Jarrett Henson</t>
  </si>
  <si>
    <t>Garland Barber</t>
  </si>
  <si>
    <t>Filiberto Baird</t>
  </si>
  <si>
    <t>Reed Pena</t>
  </si>
  <si>
    <t>Cecile Garner</t>
  </si>
  <si>
    <t>Art Kim</t>
  </si>
  <si>
    <t>Grover Kramer</t>
  </si>
  <si>
    <t>Milan Pope</t>
  </si>
  <si>
    <t>Randal Mata</t>
  </si>
  <si>
    <t>Pete Arroyo</t>
  </si>
  <si>
    <t>Luna Sanders</t>
  </si>
  <si>
    <t>Santos Mooney</t>
  </si>
  <si>
    <t>Theodore Dinh</t>
  </si>
  <si>
    <t>Austin Vo</t>
  </si>
  <si>
    <t>Jermaine Benitez</t>
  </si>
  <si>
    <t>Joshua Gupta</t>
  </si>
  <si>
    <t>Dave Armstrong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</si>
</sst>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d\-mmm\-yy;@"/>
    <numFmt numFmtId="165" formatCode="[$-409]d\-mmm;@"/>
  </numFmts>
  <fonts count="4" x14ac:knownFonts="1">
    <font>
      <sz val="11"/>
      <color theme="1"/>
      <name val="Aptos Narrow"/>
      <family val="2"/>
      <scheme val="minor"/>
    </font>
    <font>
      <b/>
      <sz val="10"/>
      <name val="Aptos Narrow"/>
      <family val="2"/>
      <scheme val="minor"/>
    </font>
    <font>
      <sz val="10"/>
      <name val="Aptos Narrow"/>
      <family val="2"/>
      <scheme val="minor"/>
    </font>
    <font>
      <sz val="10"/>
      <color theme="1"/>
      <name val="Aptos Narrow"/>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3" tint="0.89999084444715716"/>
        <bgColor indexed="64"/>
      </patternFill>
    </fill>
  </fills>
  <borders count="3">
    <border>
      <left/>
      <right/>
      <top/>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s>
  <cellStyleXfs count="1">
    <xf numFmtId="0" fontId="0" fillId="0" borderId="0"/>
  </cellStyleXfs>
  <cellXfs count="15">
    <xf numFmtId="0" fontId="0" fillId="0" borderId="0" xfId="0"/>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2" fillId="0" borderId="2" xfId="0" applyFont="1" applyBorder="1"/>
    <xf numFmtId="0" fontId="3" fillId="0" borderId="2" xfId="0" applyFont="1" applyBorder="1" applyAlignment="1">
      <alignment horizontal="left"/>
    </xf>
    <xf numFmtId="0" fontId="3" fillId="0" borderId="2" xfId="0" applyFont="1" applyBorder="1"/>
    <xf numFmtId="164" fontId="3" fillId="0" borderId="2" xfId="0" applyNumberFormat="1" applyFont="1" applyBorder="1" applyAlignment="1">
      <alignment horizontal="right" vertical="center"/>
    </xf>
    <xf numFmtId="164" fontId="3" fillId="0" borderId="2" xfId="0" applyNumberFormat="1" applyFont="1" applyBorder="1" applyAlignment="1">
      <alignment horizontal="left" vertical="center"/>
    </xf>
    <xf numFmtId="165" fontId="3" fillId="0" borderId="2" xfId="0" applyNumberFormat="1" applyFont="1" applyBorder="1" applyAlignment="1">
      <alignment horizontal="left"/>
    </xf>
    <xf numFmtId="0" fontId="3" fillId="3" borderId="2" xfId="0" applyFont="1" applyFill="1" applyBorder="1"/>
    <xf numFmtId="0" fontId="0" fillId="0" borderId="0" xfId="0" pivotButton="1"/>
    <xf numFmtId="0" fontId="0" fillId="4" borderId="0" xfId="0" applyFill="1"/>
    <xf numFmtId="9" fontId="0" fillId="0" borderId="0" xfId="0" applyNumberFormat="1"/>
    <xf numFmtId="9" fontId="0" fillId="4" borderId="0" xfId="0" applyNumberFormat="1" applyFill="1"/>
    <xf numFmtId="0" fontId="0" fillId="0" borderId="0" xfId="0" applyNumberFormat="1"/>
  </cellXfs>
  <cellStyles count="1">
    <cellStyle name="Normal" xfId="0" builtinId="0"/>
  </cellStyles>
  <dxfs count="45">
    <dxf>
      <font>
        <b val="0"/>
        <i val="0"/>
        <strike val="0"/>
        <condense val="0"/>
        <extend val="0"/>
        <outline val="0"/>
        <shadow val="0"/>
        <u val="none"/>
        <vertAlign val="baseline"/>
        <sz val="10"/>
        <color theme="1"/>
        <name val="Aptos Narrow"/>
        <family val="2"/>
        <scheme val="minor"/>
      </font>
      <numFmt numFmtId="0" formatCode="General"/>
      <fill>
        <patternFill patternType="solid">
          <fgColor indexed="64"/>
          <bgColor theme="9" tint="0.79998168889431442"/>
        </patternFill>
      </fil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0" formatCode="General"/>
      <fill>
        <patternFill patternType="solid">
          <fgColor indexed="64"/>
          <bgColor theme="9" tint="0.79998168889431442"/>
        </patternFill>
      </fill>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ptos Narrow"/>
        <family val="2"/>
        <scheme val="minor"/>
      </font>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ptos Narrow"/>
        <family val="2"/>
        <scheme val="minor"/>
      </font>
      <numFmt numFmtId="0" formatCode="Genera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4" formatCode="[$-409]d\-mmm\-yy;@"/>
      <alignment horizontal="lef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4" formatCode="[$-409]d\-mmm\-yy;@"/>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4" formatCode="[$-409]d\-mmm\-yy;@"/>
      <fill>
        <patternFill patternType="none">
          <fgColor indexed="64"/>
          <bgColor indexed="6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Aptos Narrow"/>
        <family val="2"/>
        <scheme val="minor"/>
      </font>
      <numFmt numFmtId="164" formatCode="[$-409]d\-mmm\-yy;@"/>
      <fill>
        <patternFill patternType="solid">
          <fgColor indexed="64"/>
          <bgColor theme="9" tint="0.5999938962981048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border>
        <top style="hair">
          <color auto="1"/>
        </top>
      </border>
    </dxf>
    <dxf>
      <border diagonalUp="0" diagonalDown="0">
        <left style="hair">
          <color auto="1"/>
        </left>
        <right style="hair">
          <color auto="1"/>
        </right>
        <top style="hair">
          <color auto="1"/>
        </top>
        <bottom style="hair">
          <color auto="1"/>
        </bottom>
      </border>
    </dxf>
    <dxf>
      <border>
        <bottom style="hair">
          <color auto="1"/>
        </bottom>
      </border>
    </dxf>
    <dxf>
      <font>
        <b/>
        <strike val="0"/>
        <outline val="0"/>
        <shadow val="0"/>
        <u val="none"/>
        <vertAlign val="baseline"/>
        <sz val="10"/>
        <name val="Aptos Narrow"/>
        <family val="2"/>
        <scheme val="minor"/>
      </font>
      <fill>
        <patternFill patternType="solid">
          <fgColor indexed="64"/>
          <bgColor theme="4" tint="0.79998168889431442"/>
        </patternFill>
      </fill>
      <alignment vertical="center" textRotation="0" wrapText="1" justifyLastLine="0" shrinkToFit="0" readingOrder="0"/>
      <border diagonalUp="0" diagonalDown="0" outline="0">
        <left style="hair">
          <color auto="1"/>
        </left>
        <right style="hair">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theme="7" tint="0.79998168889431442"/>
        </patternFill>
      </fill>
    </dxf>
    <dxf>
      <fill>
        <patternFill>
          <bgColor rgb="FFFFFF00"/>
        </patternFill>
      </fill>
    </dxf>
    <dxf>
      <fill>
        <patternFill>
          <bgColor theme="2" tint="-9.9948118533890809E-2"/>
        </patternFill>
      </fill>
    </dxf>
  </dxfs>
  <tableStyles count="1" defaultTableStyle="TableStyleMedium2" defaultPivotStyle="PivotStyleLight16">
    <tableStyle name="Slicer Style 1" pivot="0" table="0" count="1" xr9:uid="{F846793D-38E3-428A-BD9C-BAF429273136}">
      <tableStyleElement type="headerRow" dxfId="44"/>
    </tableStyle>
  </tableStyles>
  <colors>
    <mruColors>
      <color rgb="FFF06687"/>
      <color rgb="FFFF3399"/>
      <color rgb="FFFF4BFF"/>
      <color rgb="FFCC0000"/>
      <color rgb="FFD0C4A6"/>
      <color rgb="FFFFE1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HC Growth</a:t>
            </a:r>
          </a:p>
        </c:rich>
      </c:tx>
      <c:overlay val="1"/>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'Pivot Table'!$F$16</c:f>
              <c:strCache>
                <c:ptCount val="1"/>
                <c:pt idx="0">
                  <c:v>Attrition</c:v>
                </c:pt>
              </c:strCache>
            </c:strRef>
          </c:tx>
          <c:spPr>
            <a:solidFill>
              <a:srgbClr val="4D93D9"/>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Table'!$E$17:$E$22</c:f>
              <c:numCache>
                <c:formatCode>General</c:formatCode>
                <c:ptCount val="6"/>
                <c:pt idx="0">
                  <c:v>2020</c:v>
                </c:pt>
                <c:pt idx="1">
                  <c:v>2021</c:v>
                </c:pt>
                <c:pt idx="2">
                  <c:v>2022</c:v>
                </c:pt>
                <c:pt idx="3">
                  <c:v>2023</c:v>
                </c:pt>
                <c:pt idx="4">
                  <c:v>2024</c:v>
                </c:pt>
                <c:pt idx="5">
                  <c:v>2025</c:v>
                </c:pt>
              </c:numCache>
            </c:numRef>
          </c:cat>
          <c:val>
            <c:numRef>
              <c:f>'Pivot Table'!$F$17:$F$22</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CA10-43F2-9C74-8E0BA5B4A996}"/>
            </c:ext>
          </c:extLst>
        </c:ser>
        <c:ser>
          <c:idx val="2"/>
          <c:order val="1"/>
          <c:tx>
            <c:strRef>
              <c:f>'Pivot Table'!$G$16</c:f>
              <c:strCache>
                <c:ptCount val="1"/>
                <c:pt idx="0">
                  <c:v>On-Board</c:v>
                </c:pt>
              </c:strCache>
            </c:strRef>
          </c:tx>
          <c:spPr>
            <a:solidFill>
              <a:srgbClr val="ADADAD"/>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Table'!$E$17:$E$22</c:f>
              <c:numCache>
                <c:formatCode>General</c:formatCode>
                <c:ptCount val="6"/>
                <c:pt idx="0">
                  <c:v>2020</c:v>
                </c:pt>
                <c:pt idx="1">
                  <c:v>2021</c:v>
                </c:pt>
                <c:pt idx="2">
                  <c:v>2022</c:v>
                </c:pt>
                <c:pt idx="3">
                  <c:v>2023</c:v>
                </c:pt>
                <c:pt idx="4">
                  <c:v>2024</c:v>
                </c:pt>
                <c:pt idx="5">
                  <c:v>2025</c:v>
                </c:pt>
              </c:numCache>
            </c:numRef>
          </c:cat>
          <c:val>
            <c:numRef>
              <c:f>'Pivot Table'!$G$17:$G$22</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CA10-43F2-9C74-8E0BA5B4A996}"/>
            </c:ext>
          </c:extLst>
        </c:ser>
        <c:ser>
          <c:idx val="3"/>
          <c:order val="2"/>
          <c:tx>
            <c:strRef>
              <c:f>'Pivot Table'!$H$16</c:f>
              <c:strCache>
                <c:ptCount val="1"/>
                <c:pt idx="0">
                  <c:v>Transfer</c:v>
                </c:pt>
              </c:strCache>
            </c:strRef>
          </c:tx>
          <c:spPr>
            <a:solidFill>
              <a:srgbClr val="F06687"/>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Table'!$E$17:$E$22</c:f>
              <c:numCache>
                <c:formatCode>General</c:formatCode>
                <c:ptCount val="6"/>
                <c:pt idx="0">
                  <c:v>2020</c:v>
                </c:pt>
                <c:pt idx="1">
                  <c:v>2021</c:v>
                </c:pt>
                <c:pt idx="2">
                  <c:v>2022</c:v>
                </c:pt>
                <c:pt idx="3">
                  <c:v>2023</c:v>
                </c:pt>
                <c:pt idx="4">
                  <c:v>2024</c:v>
                </c:pt>
                <c:pt idx="5">
                  <c:v>2025</c:v>
                </c:pt>
              </c:numCache>
            </c:numRef>
          </c:cat>
          <c:val>
            <c:numRef>
              <c:f>'Pivot Table'!$H$17:$H$22</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CA10-43F2-9C74-8E0BA5B4A996}"/>
            </c:ext>
          </c:extLst>
        </c:ser>
        <c:dLbls>
          <c:showLegendKey val="0"/>
          <c:showVal val="0"/>
          <c:showCatName val="0"/>
          <c:showSerName val="0"/>
          <c:showPercent val="0"/>
          <c:showBubbleSize val="0"/>
        </c:dLbls>
        <c:gapWidth val="150"/>
        <c:overlap val="100"/>
        <c:axId val="1884845064"/>
        <c:axId val="307420679"/>
      </c:barChart>
      <c:catAx>
        <c:axId val="1884845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7420679"/>
        <c:crosses val="autoZero"/>
        <c:auto val="1"/>
        <c:lblAlgn val="ctr"/>
        <c:lblOffset val="100"/>
        <c:noMultiLvlLbl val="0"/>
      </c:catAx>
      <c:valAx>
        <c:axId val="3074206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45064"/>
        <c:crosses val="autoZero"/>
        <c:crossBetween val="between"/>
      </c:valAx>
      <c:spPr>
        <a:noFill/>
        <a:ln>
          <a:noFill/>
        </a:ln>
        <a:effectLst/>
      </c:spPr>
    </c:plotArea>
    <c:legend>
      <c:legendPos val="b"/>
      <c:layout>
        <c:manualLayout>
          <c:xMode val="edge"/>
          <c:yMode val="edge"/>
          <c:x val="0.25368984934828709"/>
          <c:y val="0.88810088845846136"/>
          <c:w val="0.48676695263838288"/>
          <c:h val="0.102273443092340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Job Level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6992766019844568E-3"/>
          <c:y val="0.16008088906914311"/>
          <c:w val="0.77045045375303456"/>
          <c:h val="0.81725647918497368"/>
        </c:manualLayout>
      </c:layout>
      <c:bar3DChart>
        <c:barDir val="col"/>
        <c:grouping val="stacked"/>
        <c:varyColors val="0"/>
        <c:ser>
          <c:idx val="1"/>
          <c:order val="0"/>
          <c:tx>
            <c:strRef>
              <c:f>'Pivot Table'!$O$17</c:f>
              <c:strCache>
                <c:ptCount val="1"/>
                <c:pt idx="0">
                  <c:v>Professional</c:v>
                </c:pt>
              </c:strCache>
            </c:strRef>
          </c:tx>
          <c:spPr>
            <a:solidFill>
              <a:srgbClr val="4D93D9"/>
            </a:solidFill>
            <a:ln>
              <a:noFill/>
            </a:ln>
            <a:effectLst>
              <a:outerShdw blurRad="50800" dist="38100" dir="2700000" algn="tl" rotWithShape="0">
                <a:prstClr val="black">
                  <a:alpha val="40000"/>
                </a:prstClr>
              </a:outerShdw>
            </a:effectLst>
            <a:sp3d/>
          </c:spPr>
          <c:invertIfNegative val="0"/>
          <c:dPt>
            <c:idx val="0"/>
            <c:invertIfNegative val="0"/>
            <c:bubble3D val="0"/>
            <c:spPr>
              <a:solidFill>
                <a:srgbClr val="00B0F0"/>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3-3662-4781-9A07-8F88BAF4D936}"/>
              </c:ext>
            </c:extLst>
          </c:dPt>
          <c:dPt>
            <c:idx val="1"/>
            <c:invertIfNegative val="0"/>
            <c:bubble3D val="0"/>
            <c:spPr>
              <a:solidFill>
                <a:srgbClr val="F06687"/>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2-3662-4781-9A07-8F88BAF4D936}"/>
              </c:ext>
            </c:extLst>
          </c:dPt>
          <c:dPt>
            <c:idx val="2"/>
            <c:invertIfNegative val="0"/>
            <c:bubble3D val="0"/>
            <c:spPr>
              <a:solidFill>
                <a:srgbClr val="ADADAD"/>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1-3662-4781-9A07-8F88BAF4D936}"/>
              </c:ext>
            </c:extLst>
          </c:dPt>
          <c:dLbls>
            <c:dLbl>
              <c:idx val="0"/>
              <c:layout>
                <c:manualLayout>
                  <c:x val="-0.25218106436450138"/>
                  <c:y val="1.1005905058036549E-2"/>
                </c:manualLayout>
              </c:layout>
              <c:showLegendKey val="0"/>
              <c:showVal val="1"/>
              <c:showCatName val="0"/>
              <c:showSerName val="1"/>
              <c:showPercent val="0"/>
              <c:showBubbleSize val="0"/>
              <c:extLst>
                <c:ext xmlns:c15="http://schemas.microsoft.com/office/drawing/2012/chart" uri="{CE6537A1-D6FC-4f65-9D91-7224C49458BB}">
                  <c15:layout>
                    <c:manualLayout>
                      <c:w val="0.23588640696026195"/>
                      <c:h val="0.13740872464958759"/>
                    </c:manualLayout>
                  </c15:layout>
                </c:ext>
                <c:ext xmlns:c16="http://schemas.microsoft.com/office/drawing/2014/chart" uri="{C3380CC4-5D6E-409C-BE32-E72D297353CC}">
                  <c16:uniqueId val="{00000003-3662-4781-9A07-8F88BAF4D9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95959"/>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Table'!$Q$16</c:f>
              <c:strCache>
                <c:ptCount val="1"/>
                <c:pt idx="0">
                  <c:v>HC %</c:v>
                </c:pt>
              </c:strCache>
            </c:strRef>
          </c:cat>
          <c:val>
            <c:numRef>
              <c:f>'Pivot Table'!$Q$17</c:f>
              <c:numCache>
                <c:formatCode>0%</c:formatCode>
                <c:ptCount val="1"/>
                <c:pt idx="0">
                  <c:v>0.36440677966101692</c:v>
                </c:pt>
              </c:numCache>
            </c:numRef>
          </c:val>
          <c:extLst>
            <c:ext xmlns:c16="http://schemas.microsoft.com/office/drawing/2014/chart" uri="{C3380CC4-5D6E-409C-BE32-E72D297353CC}">
              <c16:uniqueId val="{00000000-B5B9-45BC-8488-F301CE6312FE}"/>
            </c:ext>
          </c:extLst>
        </c:ser>
        <c:ser>
          <c:idx val="0"/>
          <c:order val="1"/>
          <c:tx>
            <c:strRef>
              <c:f>'Pivot Table'!$O$18</c:f>
              <c:strCache>
                <c:ptCount val="1"/>
                <c:pt idx="0">
                  <c:v>Trainees</c:v>
                </c:pt>
              </c:strCache>
            </c:strRef>
          </c:tx>
          <c:spPr>
            <a:solidFill>
              <a:srgbClr val="92D050"/>
            </a:solidFill>
            <a:ln>
              <a:noFill/>
            </a:ln>
            <a:effectLst>
              <a:outerShdw blurRad="50800" dist="38100" dir="2700000" algn="tl" rotWithShape="0">
                <a:prstClr val="black">
                  <a:alpha val="40000"/>
                </a:prstClr>
              </a:outerShdw>
            </a:effectLst>
            <a:sp3d/>
          </c:spPr>
          <c:invertIfNegative val="0"/>
          <c:dLbls>
            <c:dLbl>
              <c:idx val="0"/>
              <c:layout>
                <c:manualLayout>
                  <c:x val="-0.24248191504961142"/>
                  <c:y val="4.402362023214650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6F07-4558-B5C9-C0311300D8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Table'!$Q$16</c:f>
              <c:strCache>
                <c:ptCount val="1"/>
                <c:pt idx="0">
                  <c:v>HC %</c:v>
                </c:pt>
              </c:strCache>
            </c:strRef>
          </c:cat>
          <c:val>
            <c:numRef>
              <c:f>'Pivot Table'!$Q$18</c:f>
              <c:numCache>
                <c:formatCode>0%</c:formatCode>
                <c:ptCount val="1"/>
                <c:pt idx="0">
                  <c:v>0.34745762711864409</c:v>
                </c:pt>
              </c:numCache>
            </c:numRef>
          </c:val>
          <c:extLst>
            <c:ext xmlns:c16="http://schemas.microsoft.com/office/drawing/2014/chart" uri="{C3380CC4-5D6E-409C-BE32-E72D297353CC}">
              <c16:uniqueId val="{00000006-6F07-4558-B5C9-C0311300D891}"/>
            </c:ext>
          </c:extLst>
        </c:ser>
        <c:ser>
          <c:idx val="2"/>
          <c:order val="2"/>
          <c:tx>
            <c:strRef>
              <c:f>'Pivot Table'!$O$19</c:f>
              <c:strCache>
                <c:ptCount val="1"/>
                <c:pt idx="0">
                  <c:v>Management</c:v>
                </c:pt>
              </c:strCache>
            </c:strRef>
          </c:tx>
          <c:spPr>
            <a:solidFill>
              <a:srgbClr val="F06687"/>
            </a:solidFill>
            <a:ln>
              <a:noFill/>
            </a:ln>
            <a:effectLst>
              <a:outerShdw blurRad="50800" dist="38100" dir="2700000" algn="tl" rotWithShape="0">
                <a:prstClr val="black">
                  <a:alpha val="40000"/>
                </a:prstClr>
              </a:outerShdw>
            </a:effectLst>
            <a:sp3d/>
          </c:spPr>
          <c:invertIfNegative val="0"/>
          <c:dLbls>
            <c:dLbl>
              <c:idx val="0"/>
              <c:layout>
                <c:manualLayout>
                  <c:x val="-0.22793300014663473"/>
                  <c:y val="3.8520667703128224E-2"/>
                </c:manualLayout>
              </c:layout>
              <c:showLegendKey val="0"/>
              <c:showVal val="1"/>
              <c:showCatName val="0"/>
              <c:showSerName val="1"/>
              <c:showPercent val="0"/>
              <c:showBubbleSize val="0"/>
              <c:extLst>
                <c:ext xmlns:c15="http://schemas.microsoft.com/office/drawing/2012/chart" uri="{CE6537A1-D6FC-4f65-9D91-7224C49458BB}">
                  <c15:layout>
                    <c:manualLayout>
                      <c:w val="0.2400247649771087"/>
                      <c:h val="0.13740872464958759"/>
                    </c:manualLayout>
                  </c15:layout>
                </c:ext>
                <c:ext xmlns:c16="http://schemas.microsoft.com/office/drawing/2014/chart" uri="{C3380CC4-5D6E-409C-BE32-E72D297353CC}">
                  <c16:uniqueId val="{0000000A-6F07-4558-B5C9-C0311300D8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Table'!$Q$16</c:f>
              <c:strCache>
                <c:ptCount val="1"/>
                <c:pt idx="0">
                  <c:v>HC %</c:v>
                </c:pt>
              </c:strCache>
            </c:strRef>
          </c:cat>
          <c:val>
            <c:numRef>
              <c:f>'Pivot Table'!$Q$19</c:f>
              <c:numCache>
                <c:formatCode>0%</c:formatCode>
                <c:ptCount val="1"/>
                <c:pt idx="0">
                  <c:v>0.17796610169491525</c:v>
                </c:pt>
              </c:numCache>
            </c:numRef>
          </c:val>
          <c:extLst>
            <c:ext xmlns:c16="http://schemas.microsoft.com/office/drawing/2014/chart" uri="{C3380CC4-5D6E-409C-BE32-E72D297353CC}">
              <c16:uniqueId val="{00000007-6F07-4558-B5C9-C0311300D891}"/>
            </c:ext>
          </c:extLst>
        </c:ser>
        <c:ser>
          <c:idx val="3"/>
          <c:order val="3"/>
          <c:tx>
            <c:strRef>
              <c:f>'Pivot Table'!$O$20</c:f>
              <c:strCache>
                <c:ptCount val="1"/>
                <c:pt idx="0">
                  <c:v>Contract</c:v>
                </c:pt>
              </c:strCache>
            </c:strRef>
          </c:tx>
          <c:spPr>
            <a:solidFill>
              <a:schemeClr val="tx2">
                <a:lumMod val="50000"/>
                <a:lumOff val="50000"/>
              </a:schemeClr>
            </a:solidFill>
            <a:ln>
              <a:noFill/>
            </a:ln>
            <a:effectLst>
              <a:outerShdw blurRad="50800" dist="38100" dir="2700000" algn="tl" rotWithShape="0">
                <a:prstClr val="black">
                  <a:alpha val="40000"/>
                </a:prstClr>
              </a:outerShdw>
            </a:effectLst>
            <a:sp3d/>
          </c:spPr>
          <c:invertIfNegative val="0"/>
          <c:dLbls>
            <c:dLbl>
              <c:idx val="0"/>
              <c:layout>
                <c:manualLayout>
                  <c:x val="-0.22308336184564254"/>
                  <c:y val="-2.2011810116073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6F07-4558-B5C9-C0311300D8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Table'!$Q$16</c:f>
              <c:strCache>
                <c:ptCount val="1"/>
                <c:pt idx="0">
                  <c:v>HC %</c:v>
                </c:pt>
              </c:strCache>
            </c:strRef>
          </c:cat>
          <c:val>
            <c:numRef>
              <c:f>'Pivot Table'!$Q$20</c:f>
              <c:numCache>
                <c:formatCode>0%</c:formatCode>
                <c:ptCount val="1"/>
                <c:pt idx="0">
                  <c:v>0.11016949152542373</c:v>
                </c:pt>
              </c:numCache>
            </c:numRef>
          </c:val>
          <c:extLst>
            <c:ext xmlns:c16="http://schemas.microsoft.com/office/drawing/2014/chart" uri="{C3380CC4-5D6E-409C-BE32-E72D297353CC}">
              <c16:uniqueId val="{00000008-6F07-4558-B5C9-C0311300D891}"/>
            </c:ext>
          </c:extLst>
        </c:ser>
        <c:dLbls>
          <c:showLegendKey val="0"/>
          <c:showVal val="0"/>
          <c:showCatName val="0"/>
          <c:showSerName val="0"/>
          <c:showPercent val="0"/>
          <c:showBubbleSize val="0"/>
        </c:dLbls>
        <c:gapWidth val="140"/>
        <c:shape val="pyramid"/>
        <c:axId val="1019513352"/>
        <c:axId val="1019515400"/>
        <c:axId val="0"/>
      </c:bar3DChart>
      <c:catAx>
        <c:axId val="1019513352"/>
        <c:scaling>
          <c:orientation val="minMax"/>
        </c:scaling>
        <c:delete val="1"/>
        <c:axPos val="b"/>
        <c:numFmt formatCode="General" sourceLinked="1"/>
        <c:majorTickMark val="none"/>
        <c:minorTickMark val="none"/>
        <c:tickLblPos val="nextTo"/>
        <c:crossAx val="1019515400"/>
        <c:crosses val="autoZero"/>
        <c:auto val="1"/>
        <c:lblAlgn val="ctr"/>
        <c:lblOffset val="100"/>
        <c:noMultiLvlLbl val="0"/>
      </c:catAx>
      <c:valAx>
        <c:axId val="1019515400"/>
        <c:scaling>
          <c:orientation val="minMax"/>
        </c:scaling>
        <c:delete val="1"/>
        <c:axPos val="l"/>
        <c:numFmt formatCode="0%" sourceLinked="1"/>
        <c:majorTickMark val="none"/>
        <c:minorTickMark val="none"/>
        <c:tickLblPos val="nextTo"/>
        <c:crossAx val="1019513352"/>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Dept by HC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1"/>
          <c:order val="0"/>
          <c:tx>
            <c:strRef>
              <c:f>'Pivot Table'!$U$16</c:f>
              <c:strCache>
                <c:ptCount val="1"/>
                <c:pt idx="0">
                  <c:v>HC %</c:v>
                </c:pt>
              </c:strCache>
            </c:strRef>
          </c:tx>
          <c:spPr>
            <a:ln w="25400">
              <a:noFill/>
            </a:ln>
            <a:effectLst>
              <a:outerShdw blurRad="50800" dist="38100" dir="2700000" algn="tl" rotWithShape="0">
                <a:prstClr val="black">
                  <a:alpha val="40000"/>
                </a:prstClr>
              </a:outerShdw>
            </a:effectLst>
          </c:spPr>
          <c:dPt>
            <c:idx val="0"/>
            <c:bubble3D val="0"/>
            <c:spPr>
              <a:solidFill>
                <a:srgbClr val="4D93D9"/>
              </a:solidFill>
              <a:ln w="2540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F05-402F-8047-5141BB925FBD}"/>
              </c:ext>
            </c:extLst>
          </c:dPt>
          <c:dPt>
            <c:idx val="1"/>
            <c:bubble3D val="0"/>
            <c:spPr>
              <a:solidFill>
                <a:srgbClr val="F06687"/>
              </a:solidFill>
              <a:ln w="2540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F05-402F-8047-5141BB925FBD}"/>
              </c:ext>
            </c:extLst>
          </c:dPt>
          <c:dPt>
            <c:idx val="2"/>
            <c:bubble3D val="0"/>
            <c:spPr>
              <a:solidFill>
                <a:srgbClr val="00B0F0"/>
              </a:solidFill>
              <a:ln w="2540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F05-402F-8047-5141BB925FBD}"/>
              </c:ext>
            </c:extLst>
          </c:dPt>
          <c:dPt>
            <c:idx val="3"/>
            <c:bubble3D val="0"/>
            <c:spPr>
              <a:solidFill>
                <a:srgbClr val="FFE100"/>
              </a:solidFill>
              <a:ln w="2540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F05-402F-8047-5141BB925FBD}"/>
              </c:ext>
            </c:extLst>
          </c:dPt>
          <c:dPt>
            <c:idx val="4"/>
            <c:bubble3D val="0"/>
            <c:spPr>
              <a:solidFill>
                <a:srgbClr val="D86DCD"/>
              </a:solidFill>
              <a:ln w="2540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1F05-402F-8047-5141BB925FBD}"/>
              </c:ext>
            </c:extLst>
          </c:dPt>
          <c:dPt>
            <c:idx val="5"/>
            <c:bubble3D val="0"/>
            <c:spPr>
              <a:solidFill>
                <a:schemeClr val="accent6"/>
              </a:solidFill>
              <a:ln w="2540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1F05-402F-8047-5141BB925FBD}"/>
              </c:ext>
            </c:extLst>
          </c:dPt>
          <c:dPt>
            <c:idx val="6"/>
            <c:bubble3D val="0"/>
            <c:spPr>
              <a:solidFill>
                <a:srgbClr val="C0E6F5"/>
              </a:solidFill>
              <a:ln w="2540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1F05-402F-8047-5141BB925F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Table'!$S$17:$S$23</c:f>
              <c:strCache>
                <c:ptCount val="7"/>
                <c:pt idx="0">
                  <c:v>Accounting</c:v>
                </c:pt>
                <c:pt idx="1">
                  <c:v>Finance</c:v>
                </c:pt>
                <c:pt idx="2">
                  <c:v>HR</c:v>
                </c:pt>
                <c:pt idx="3">
                  <c:v>Legal</c:v>
                </c:pt>
                <c:pt idx="4">
                  <c:v>Marketing</c:v>
                </c:pt>
                <c:pt idx="5">
                  <c:v>Operations</c:v>
                </c:pt>
                <c:pt idx="6">
                  <c:v>Sales</c:v>
                </c:pt>
              </c:strCache>
            </c:strRef>
          </c:cat>
          <c:val>
            <c:numRef>
              <c:f>'Pivot Table'!$U$17:$U$23</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1F05-402F-8047-5141BB925FBD}"/>
            </c:ext>
          </c:extLst>
        </c:ser>
        <c:dLbls>
          <c:showLegendKey val="0"/>
          <c:showVal val="0"/>
          <c:showCatName val="0"/>
          <c:showSerName val="0"/>
          <c:showPercent val="0"/>
          <c:showBubbleSize val="0"/>
          <c:showLeaderLines val="1"/>
        </c:dLbls>
        <c:firstSliceAng val="0"/>
        <c:holeSize val="46"/>
      </c:doughnutChart>
      <c:spPr>
        <a:noFill/>
        <a:ln>
          <a:noFill/>
        </a:ln>
        <a:effectLst/>
      </c:spPr>
    </c:plotArea>
    <c:legend>
      <c:legendPos val="r"/>
      <c:overlay val="0"/>
      <c:spPr>
        <a:noFill/>
        <a:ln w="25400">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Emp Type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988527842470396"/>
          <c:y val="0.20021592442645075"/>
          <c:w val="0.33437137259251043"/>
          <c:h val="0.67498910814285862"/>
        </c:manualLayout>
      </c:layout>
      <c:barChart>
        <c:barDir val="col"/>
        <c:grouping val="stacked"/>
        <c:varyColors val="0"/>
        <c:ser>
          <c:idx val="0"/>
          <c:order val="0"/>
          <c:tx>
            <c:strRef>
              <c:f>'Pivot Table'!$Z$17</c:f>
              <c:strCache>
                <c:ptCount val="1"/>
                <c:pt idx="0">
                  <c:v>Contract</c:v>
                </c:pt>
              </c:strCache>
            </c:strRef>
          </c:tx>
          <c:spPr>
            <a:solidFill>
              <a:srgbClr val="F1A983"/>
            </a:solidFill>
            <a:ln>
              <a:noFill/>
            </a:ln>
            <a:effectLst>
              <a:outerShdw blurRad="50800" dist="38100" dir="2700000" algn="tl" rotWithShape="0">
                <a:prstClr val="black">
                  <a:alpha val="40000"/>
                </a:prstClr>
              </a:outerShdw>
            </a:effectLst>
          </c:spPr>
          <c:invertIfNegative val="0"/>
          <c:dPt>
            <c:idx val="0"/>
            <c:invertIfNegative val="0"/>
            <c:bubble3D val="0"/>
            <c:spPr>
              <a:solidFill>
                <a:srgbClr val="F06687"/>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0-3488-4E83-A13E-0E02F83E1910}"/>
              </c:ext>
            </c:extLst>
          </c:dPt>
          <c:dLbls>
            <c:dLbl>
              <c:idx val="0"/>
              <c:layout>
                <c:manualLayout>
                  <c:x val="-5.7380662120653491E-17"/>
                  <c:y val="9.8964218880155408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88-4E83-A13E-0E02F83E19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Table'!$AB$16</c:f>
              <c:strCache>
                <c:ptCount val="1"/>
                <c:pt idx="0">
                  <c:v>HC %</c:v>
                </c:pt>
              </c:strCache>
            </c:strRef>
          </c:cat>
          <c:val>
            <c:numRef>
              <c:f>'Pivot Table'!$AB$17</c:f>
              <c:numCache>
                <c:formatCode>0%</c:formatCode>
                <c:ptCount val="1"/>
                <c:pt idx="0">
                  <c:v>0.11016949152542373</c:v>
                </c:pt>
              </c:numCache>
            </c:numRef>
          </c:val>
          <c:extLst>
            <c:ext xmlns:c16="http://schemas.microsoft.com/office/drawing/2014/chart" uri="{C3380CC4-5D6E-409C-BE32-E72D297353CC}">
              <c16:uniqueId val="{00000000-CF52-46A5-A7FE-4E23EDE9CD05}"/>
            </c:ext>
          </c:extLst>
        </c:ser>
        <c:ser>
          <c:idx val="1"/>
          <c:order val="1"/>
          <c:tx>
            <c:strRef>
              <c:f>'Pivot Table'!$Z$18</c:f>
              <c:strCache>
                <c:ptCount val="1"/>
                <c:pt idx="0">
                  <c:v>Permanent</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Table'!$AB$16</c:f>
              <c:strCache>
                <c:ptCount val="1"/>
                <c:pt idx="0">
                  <c:v>HC %</c:v>
                </c:pt>
              </c:strCache>
            </c:strRef>
          </c:cat>
          <c:val>
            <c:numRef>
              <c:f>'Pivot Table'!$AB$18</c:f>
              <c:numCache>
                <c:formatCode>0%</c:formatCode>
                <c:ptCount val="1"/>
                <c:pt idx="0">
                  <c:v>0.88983050847457623</c:v>
                </c:pt>
              </c:numCache>
            </c:numRef>
          </c:val>
          <c:extLst>
            <c:ext xmlns:c16="http://schemas.microsoft.com/office/drawing/2014/chart" uri="{C3380CC4-5D6E-409C-BE32-E72D297353CC}">
              <c16:uniqueId val="{00000001-CF52-46A5-A7FE-4E23EDE9CD05}"/>
            </c:ext>
          </c:extLst>
        </c:ser>
        <c:dLbls>
          <c:showLegendKey val="0"/>
          <c:showVal val="0"/>
          <c:showCatName val="0"/>
          <c:showSerName val="0"/>
          <c:showPercent val="0"/>
          <c:showBubbleSize val="0"/>
        </c:dLbls>
        <c:gapWidth val="150"/>
        <c:overlap val="100"/>
        <c:axId val="2130857480"/>
        <c:axId val="2130885640"/>
      </c:barChart>
      <c:catAx>
        <c:axId val="2130857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85640"/>
        <c:crosses val="autoZero"/>
        <c:auto val="1"/>
        <c:lblAlgn val="ctr"/>
        <c:lblOffset val="100"/>
        <c:noMultiLvlLbl val="0"/>
      </c:catAx>
      <c:valAx>
        <c:axId val="2130885640"/>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57480"/>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Stability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Table'!$AE$16</c:f>
              <c:strCache>
                <c:ptCount val="1"/>
                <c:pt idx="0">
                  <c:v>HC</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Table'!$AD$17:$AD$21</c:f>
              <c:strCache>
                <c:ptCount val="5"/>
                <c:pt idx="0">
                  <c:v>2+ years</c:v>
                </c:pt>
                <c:pt idx="1">
                  <c:v>5+ years</c:v>
                </c:pt>
                <c:pt idx="2">
                  <c:v>4+ years</c:v>
                </c:pt>
                <c:pt idx="3">
                  <c:v>3+ years</c:v>
                </c:pt>
                <c:pt idx="4">
                  <c:v>1+ years</c:v>
                </c:pt>
              </c:strCache>
            </c:strRef>
          </c:cat>
          <c:val>
            <c:numRef>
              <c:f>'Pivot Table'!$AE$17:$AE$21</c:f>
              <c:numCache>
                <c:formatCode>General</c:formatCode>
                <c:ptCount val="5"/>
                <c:pt idx="0">
                  <c:v>37</c:v>
                </c:pt>
                <c:pt idx="1">
                  <c:v>34</c:v>
                </c:pt>
                <c:pt idx="2">
                  <c:v>19</c:v>
                </c:pt>
                <c:pt idx="3">
                  <c:v>19</c:v>
                </c:pt>
                <c:pt idx="4">
                  <c:v>9</c:v>
                </c:pt>
              </c:numCache>
            </c:numRef>
          </c:val>
          <c:extLst>
            <c:ext xmlns:c16="http://schemas.microsoft.com/office/drawing/2014/chart" uri="{C3380CC4-5D6E-409C-BE32-E72D297353CC}">
              <c16:uniqueId val="{00000000-78EF-4442-8264-0CDC4F0CA46E}"/>
            </c:ext>
          </c:extLst>
        </c:ser>
        <c:dLbls>
          <c:showLegendKey val="0"/>
          <c:showVal val="0"/>
          <c:showCatName val="0"/>
          <c:showSerName val="0"/>
          <c:showPercent val="0"/>
          <c:showBubbleSize val="0"/>
        </c:dLbls>
        <c:gapWidth val="100"/>
        <c:axId val="368637447"/>
        <c:axId val="368848903"/>
      </c:barChart>
      <c:catAx>
        <c:axId val="368637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848903"/>
        <c:crosses val="autoZero"/>
        <c:auto val="1"/>
        <c:lblAlgn val="ctr"/>
        <c:lblOffset val="100"/>
        <c:noMultiLvlLbl val="0"/>
      </c:catAx>
      <c:valAx>
        <c:axId val="368848903"/>
        <c:scaling>
          <c:orientation val="minMax"/>
        </c:scaling>
        <c:delete val="1"/>
        <c:axPos val="b"/>
        <c:numFmt formatCode="General" sourceLinked="1"/>
        <c:majorTickMark val="none"/>
        <c:minorTickMark val="none"/>
        <c:tickLblPos val="nextTo"/>
        <c:crossAx val="368637447"/>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Diversity</a:t>
            </a:r>
            <a:r>
              <a:rPr lang="en-US" b="1" baseline="0"/>
              <a:t> </a:t>
            </a:r>
            <a:r>
              <a:rPr lang="en-US" b="1"/>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968105782301462"/>
          <c:y val="0.29441350005648198"/>
          <c:w val="0.44577496170971281"/>
          <c:h val="0.5171978867058854"/>
        </c:manualLayout>
      </c:layout>
      <c:doughnutChart>
        <c:varyColors val="1"/>
        <c:ser>
          <c:idx val="1"/>
          <c:order val="0"/>
          <c:tx>
            <c:strRef>
              <c:f>'Pivot Table'!$M$16</c:f>
              <c:strCache>
                <c:ptCount val="1"/>
                <c:pt idx="0">
                  <c:v>HC %</c:v>
                </c:pt>
              </c:strCache>
            </c:strRef>
          </c:tx>
          <c:spPr>
            <a:ln>
              <a:noFill/>
            </a:ln>
            <a:effectLst>
              <a:outerShdw blurRad="50800" dist="38100" dir="2700000" algn="tl" rotWithShape="0">
                <a:prstClr val="black">
                  <a:alpha val="40000"/>
                </a:prstClr>
              </a:outerShdw>
            </a:effectLst>
          </c:spPr>
          <c:dPt>
            <c:idx val="0"/>
            <c:bubble3D val="0"/>
            <c:spPr>
              <a:solidFill>
                <a:srgbClr val="F06687"/>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8F5D-4F4B-8366-04373CBEC263}"/>
              </c:ext>
            </c:extLst>
          </c:dPt>
          <c:dPt>
            <c:idx val="1"/>
            <c:bubble3D val="0"/>
            <c:spPr>
              <a:solidFill>
                <a:srgbClr val="00B0F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8F5D-4F4B-8366-04373CBEC263}"/>
              </c:ext>
            </c:extLst>
          </c:dPt>
          <c:dLbls>
            <c:dLbl>
              <c:idx val="0"/>
              <c:layout>
                <c:manualLayout>
                  <c:x val="4.755859630990221E-2"/>
                  <c:y val="0.386249685004475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F5D-4F4B-8366-04373CBEC263}"/>
                </c:ext>
              </c:extLst>
            </c:dLbl>
            <c:dLbl>
              <c:idx val="1"/>
              <c:layout>
                <c:manualLayout>
                  <c:x val="-0.10462891188178505"/>
                  <c:y val="-0.308999748003580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5D-4F4B-8366-04373CBEC2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Table'!$K$17:$K$18</c:f>
              <c:strCache>
                <c:ptCount val="2"/>
                <c:pt idx="0">
                  <c:v>Female</c:v>
                </c:pt>
                <c:pt idx="1">
                  <c:v>Male</c:v>
                </c:pt>
              </c:strCache>
            </c:strRef>
          </c:cat>
          <c:val>
            <c:numRef>
              <c:f>'Pivot Table'!$M$17:$M$18</c:f>
              <c:numCache>
                <c:formatCode>0%</c:formatCode>
                <c:ptCount val="2"/>
                <c:pt idx="0">
                  <c:v>0.38135593220338981</c:v>
                </c:pt>
                <c:pt idx="1">
                  <c:v>0.61864406779661019</c:v>
                </c:pt>
              </c:numCache>
            </c:numRef>
          </c:val>
          <c:extLst>
            <c:ext xmlns:c16="http://schemas.microsoft.com/office/drawing/2014/chart" uri="{C3380CC4-5D6E-409C-BE32-E72D297353CC}">
              <c16:uniqueId val="{00000004-8F5D-4F4B-8366-04373CBEC263}"/>
            </c:ext>
          </c:extLst>
        </c:ser>
        <c:dLbls>
          <c:showLegendKey val="0"/>
          <c:showVal val="1"/>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Table'!$K$17</c:f>
              <c:strCache>
                <c:ptCount val="1"/>
                <c:pt idx="0">
                  <c:v>Female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565-46C1-A0A4-08425CA2AB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565-46C1-A0A4-08425CA2ABAF}"/>
              </c:ext>
            </c:extLst>
          </c:dPt>
          <c:cat>
            <c:strRef>
              <c:f>'Pivot Table'!$L$16:$M$16</c:f>
              <c:strCache>
                <c:ptCount val="2"/>
                <c:pt idx="0">
                  <c:v>Head Count</c:v>
                </c:pt>
                <c:pt idx="1">
                  <c:v>HC %</c:v>
                </c:pt>
              </c:strCache>
            </c:strRef>
          </c:cat>
          <c:val>
            <c:numRef>
              <c:f>'Pivot Table'!$L$17:$M$17</c:f>
              <c:numCache>
                <c:formatCode>0%</c:formatCode>
                <c:ptCount val="2"/>
                <c:pt idx="0" formatCode="General">
                  <c:v>45</c:v>
                </c:pt>
                <c:pt idx="1">
                  <c:v>0.38135593220338981</c:v>
                </c:pt>
              </c:numCache>
            </c:numRef>
          </c:val>
          <c:extLst>
            <c:ext xmlns:c16="http://schemas.microsoft.com/office/drawing/2014/chart" uri="{C3380CC4-5D6E-409C-BE32-E72D297353CC}">
              <c16:uniqueId val="{00000000-D8FB-4CA9-838C-0331256770FF}"/>
            </c:ext>
          </c:extLst>
        </c:ser>
        <c:ser>
          <c:idx val="1"/>
          <c:order val="1"/>
          <c:tx>
            <c:strRef>
              <c:f>'Pivot Table'!$K$18</c:f>
              <c:strCache>
                <c:ptCount val="1"/>
                <c:pt idx="0">
                  <c:v>Male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0565-46C1-A0A4-08425CA2AB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0565-46C1-A0A4-08425CA2ABAF}"/>
              </c:ext>
            </c:extLst>
          </c:dPt>
          <c:cat>
            <c:strRef>
              <c:f>'Pivot Table'!$L$16:$M$16</c:f>
              <c:strCache>
                <c:ptCount val="2"/>
                <c:pt idx="0">
                  <c:v>Head Count</c:v>
                </c:pt>
                <c:pt idx="1">
                  <c:v>HC %</c:v>
                </c:pt>
              </c:strCache>
            </c:strRef>
          </c:cat>
          <c:val>
            <c:numRef>
              <c:f>'Pivot Table'!$L$18:$M$18</c:f>
              <c:numCache>
                <c:formatCode>0%</c:formatCode>
                <c:ptCount val="2"/>
                <c:pt idx="0" formatCode="General">
                  <c:v>73</c:v>
                </c:pt>
                <c:pt idx="1">
                  <c:v>0.61864406779661019</c:v>
                </c:pt>
              </c:numCache>
            </c:numRef>
          </c:val>
          <c:extLst>
            <c:ext xmlns:c16="http://schemas.microsoft.com/office/drawing/2014/chart" uri="{C3380CC4-5D6E-409C-BE32-E72D297353CC}">
              <c16:uniqueId val="{00000002-D8FB-4CA9-838C-0331256770F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'Pivot Table'!$K$17</c:f>
              <c:strCache>
                <c:ptCount val="1"/>
                <c:pt idx="0">
                  <c:v>Female</c:v>
                </c:pt>
              </c:strCache>
            </c:strRef>
          </c:tx>
          <c:spPr>
            <a:solidFill>
              <a:schemeClr val="accent1"/>
            </a:solidFill>
            <a:ln>
              <a:noFill/>
            </a:ln>
            <a:effectLst/>
          </c:spPr>
          <c:invertIfNegative val="0"/>
          <c:cat>
            <c:strRef>
              <c:f>'Pivot Table'!$M$16</c:f>
              <c:strCache>
                <c:ptCount val="1"/>
                <c:pt idx="0">
                  <c:v>HC %</c:v>
                </c:pt>
              </c:strCache>
            </c:strRef>
          </c:cat>
          <c:val>
            <c:numRef>
              <c:f>'Pivot Table'!$L$17:$M$17</c:f>
              <c:numCache>
                <c:formatCode>0%</c:formatCode>
                <c:ptCount val="2"/>
                <c:pt idx="0" formatCode="General">
                  <c:v>45</c:v>
                </c:pt>
                <c:pt idx="1">
                  <c:v>0.38135593220338981</c:v>
                </c:pt>
              </c:numCache>
            </c:numRef>
          </c:val>
          <c:extLst>
            <c:ext xmlns:c16="http://schemas.microsoft.com/office/drawing/2014/chart" uri="{C3380CC4-5D6E-409C-BE32-E72D297353CC}">
              <c16:uniqueId val="{00000005-0224-431B-9DF7-8BED68FFF7A2}"/>
            </c:ext>
          </c:extLst>
        </c:ser>
        <c:ser>
          <c:idx val="1"/>
          <c:order val="1"/>
          <c:tx>
            <c:strRef>
              <c:f>'Pivot Table'!$K$18</c:f>
              <c:strCache>
                <c:ptCount val="1"/>
                <c:pt idx="0">
                  <c:v>Male</c:v>
                </c:pt>
              </c:strCache>
            </c:strRef>
          </c:tx>
          <c:spPr>
            <a:solidFill>
              <a:schemeClr val="accent2"/>
            </a:solidFill>
            <a:ln>
              <a:noFill/>
            </a:ln>
            <a:effectLst/>
          </c:spPr>
          <c:invertIfNegative val="0"/>
          <c:cat>
            <c:strRef>
              <c:f>'Pivot Table'!$M$16</c:f>
              <c:strCache>
                <c:ptCount val="1"/>
                <c:pt idx="0">
                  <c:v>HC %</c:v>
                </c:pt>
              </c:strCache>
            </c:strRef>
          </c:cat>
          <c:val>
            <c:numRef>
              <c:f>'Pivot Table'!$L$18:$M$18</c:f>
              <c:numCache>
                <c:formatCode>0%</c:formatCode>
                <c:ptCount val="2"/>
                <c:pt idx="0" formatCode="General">
                  <c:v>73</c:v>
                </c:pt>
                <c:pt idx="1">
                  <c:v>0.61864406779661019</c:v>
                </c:pt>
              </c:numCache>
            </c:numRef>
          </c:val>
          <c:extLst>
            <c:ext xmlns:c16="http://schemas.microsoft.com/office/drawing/2014/chart" uri="{C3380CC4-5D6E-409C-BE32-E72D297353CC}">
              <c16:uniqueId val="{00000006-0224-431B-9DF7-8BED68FFF7A2}"/>
            </c:ext>
          </c:extLst>
        </c:ser>
        <c:dLbls>
          <c:showLegendKey val="0"/>
          <c:showVal val="0"/>
          <c:showCatName val="0"/>
          <c:showSerName val="0"/>
          <c:showPercent val="0"/>
          <c:showBubbleSize val="0"/>
        </c:dLbls>
        <c:gapWidth val="150"/>
        <c:overlap val="100"/>
        <c:axId val="2087870983"/>
        <c:axId val="2087873031"/>
      </c:barChart>
      <c:catAx>
        <c:axId val="2087870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873031"/>
        <c:crosses val="autoZero"/>
        <c:auto val="1"/>
        <c:lblAlgn val="ctr"/>
        <c:lblOffset val="100"/>
        <c:noMultiLvlLbl val="0"/>
      </c:catAx>
      <c:valAx>
        <c:axId val="2087873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8709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HC Reporting</cx:v>
        </cx:txData>
      </cx:tx>
      <cx:txPr>
        <a:bodyPr vertOverflow="overflow" horzOverflow="overflow" wrap="square" lIns="0" tIns="0" rIns="0" bIns="0"/>
        <a:lstStyle/>
        <a:p>
          <a:pPr algn="ctr" rtl="0">
            <a:defRPr sz="1400" b="1" i="0">
              <a:solidFill>
                <a:srgbClr val="595959"/>
              </a:solidFill>
              <a:latin typeface="Calibri" panose="020F0502020204030204" pitchFamily="34" charset="0"/>
              <a:ea typeface="Calibri" panose="020F0502020204030204" pitchFamily="34" charset="0"/>
              <a:cs typeface="Calibri" panose="020F0502020204030204" pitchFamily="34" charset="0"/>
            </a:defRPr>
          </a:pPr>
          <a:r>
            <a:rPr b="1">
              <a:solidFill>
                <a:srgbClr val="595959"/>
              </a:solidFill>
            </a:rPr>
            <a:t>HC Reporting</a:t>
          </a:r>
        </a:p>
      </cx:txPr>
    </cx:title>
    <cx:plotArea>
      <cx:plotAreaRegion>
        <cx:series layoutId="funnel" uniqueId="{00000000-6C98-460F-A15C-D926E6819846}">
          <cx:tx>
            <cx:txData>
              <cx:f>_xlchart.v2.1</cx:f>
              <cx:v>HC Reporting</cx:v>
            </cx:txData>
          </cx:tx>
          <cx:spPr>
            <a:solidFill>
              <a:srgbClr val="92D050"/>
            </a:solidFill>
            <a:effectLst>
              <a:outerShdw blurRad="50800" dist="38100" dir="2700000" algn="tl" rotWithShape="0">
                <a:prstClr val="black">
                  <a:alpha val="40000"/>
                </a:prstClr>
              </a:outerShdw>
            </a:effectLst>
          </cx:spPr>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spPr>
          <a:ln>
            <a:noFill/>
          </a:ln>
        </cx:spP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6.xml"/><Relationship Id="rId18" Type="http://schemas.openxmlformats.org/officeDocument/2006/relationships/image" Target="../media/image9.png"/><Relationship Id="rId3" Type="http://schemas.openxmlformats.org/officeDocument/2006/relationships/image" Target="../media/image3.png"/><Relationship Id="rId21" Type="http://schemas.microsoft.com/office/2007/relationships/hdphoto" Target="../media/hdphoto4.wdp"/><Relationship Id="rId7" Type="http://schemas.openxmlformats.org/officeDocument/2006/relationships/chart" Target="../charts/chart1.xml"/><Relationship Id="rId12" Type="http://schemas.openxmlformats.org/officeDocument/2006/relationships/chart" Target="../charts/chart5.xml"/><Relationship Id="rId17" Type="http://schemas.microsoft.com/office/2007/relationships/hdphoto" Target="../media/hdphoto2.wdp"/><Relationship Id="rId25" Type="http://schemas.openxmlformats.org/officeDocument/2006/relationships/image" Target="../media/image14.svg"/><Relationship Id="rId2" Type="http://schemas.openxmlformats.org/officeDocument/2006/relationships/image" Target="../media/image2.png"/><Relationship Id="rId16" Type="http://schemas.openxmlformats.org/officeDocument/2006/relationships/image" Target="../media/image8.png"/><Relationship Id="rId20"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24" Type="http://schemas.openxmlformats.org/officeDocument/2006/relationships/image" Target="../media/image13.png"/><Relationship Id="rId5" Type="http://schemas.openxmlformats.org/officeDocument/2006/relationships/image" Target="../media/image5.png"/><Relationship Id="rId15" Type="http://schemas.microsoft.com/office/2007/relationships/hdphoto" Target="../media/hdphoto1.wdp"/><Relationship Id="rId23" Type="http://schemas.openxmlformats.org/officeDocument/2006/relationships/image" Target="../media/image12.svg"/><Relationship Id="rId10" Type="http://schemas.microsoft.com/office/2014/relationships/chartEx" Target="../charts/chartEx1.xml"/><Relationship Id="rId19" Type="http://schemas.microsoft.com/office/2007/relationships/hdphoto" Target="../media/hdphoto3.wdp"/><Relationship Id="rId4" Type="http://schemas.openxmlformats.org/officeDocument/2006/relationships/image" Target="../media/image4.png"/><Relationship Id="rId9" Type="http://schemas.openxmlformats.org/officeDocument/2006/relationships/chart" Target="../charts/chart3.xml"/><Relationship Id="rId14" Type="http://schemas.openxmlformats.org/officeDocument/2006/relationships/image" Target="../media/image7.png"/><Relationship Id="rId22" Type="http://schemas.openxmlformats.org/officeDocument/2006/relationships/image" Target="../media/image1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95250</xdr:rowOff>
    </xdr:from>
    <xdr:to>
      <xdr:col>2</xdr:col>
      <xdr:colOff>123825</xdr:colOff>
      <xdr:row>4</xdr:row>
      <xdr:rowOff>180975</xdr:rowOff>
    </xdr:to>
    <xdr:sp macro="" textlink="">
      <xdr:nvSpPr>
        <xdr:cNvPr id="2" name="Rectangle 1">
          <a:extLst>
            <a:ext uri="{FF2B5EF4-FFF2-40B4-BE49-F238E27FC236}">
              <a16:creationId xmlns:a16="http://schemas.microsoft.com/office/drawing/2014/main" id="{27EC3159-9BF7-8134-F5AC-94B3096ED433}"/>
            </a:ext>
          </a:extLst>
        </xdr:cNvPr>
        <xdr:cNvSpPr/>
      </xdr:nvSpPr>
      <xdr:spPr>
        <a:xfrm>
          <a:off x="95250" y="95250"/>
          <a:ext cx="1247775" cy="847725"/>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2</xdr:col>
      <xdr:colOff>209550</xdr:colOff>
      <xdr:row>0</xdr:row>
      <xdr:rowOff>104775</xdr:rowOff>
    </xdr:from>
    <xdr:to>
      <xdr:col>19</xdr:col>
      <xdr:colOff>488156</xdr:colOff>
      <xdr:row>5</xdr:row>
      <xdr:rowOff>0</xdr:rowOff>
    </xdr:to>
    <xdr:sp macro="" textlink="">
      <xdr:nvSpPr>
        <xdr:cNvPr id="3" name="Rectangle 2">
          <a:extLst>
            <a:ext uri="{FF2B5EF4-FFF2-40B4-BE49-F238E27FC236}">
              <a16:creationId xmlns:a16="http://schemas.microsoft.com/office/drawing/2014/main" id="{66FAE09A-7EB4-4F1D-9277-1E6E6FBA8E1A}"/>
            </a:ext>
            <a:ext uri="{147F2762-F138-4A5C-976F-8EAC2B608ADB}">
              <a16:predDERef xmlns:a16="http://schemas.microsoft.com/office/drawing/2014/main" pred="{27EC3159-9BF7-8134-F5AC-94B3096ED433}"/>
            </a:ext>
          </a:extLst>
        </xdr:cNvPr>
        <xdr:cNvSpPr/>
      </xdr:nvSpPr>
      <xdr:spPr>
        <a:xfrm>
          <a:off x="1428750" y="104775"/>
          <a:ext cx="10641806" cy="847725"/>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4</xdr:col>
      <xdr:colOff>152400</xdr:colOff>
      <xdr:row>1</xdr:row>
      <xdr:rowOff>9525</xdr:rowOff>
    </xdr:from>
    <xdr:to>
      <xdr:col>15</xdr:col>
      <xdr:colOff>495300</xdr:colOff>
      <xdr:row>4</xdr:row>
      <xdr:rowOff>95250</xdr:rowOff>
    </xdr:to>
    <xdr:sp macro="" textlink="">
      <xdr:nvSpPr>
        <xdr:cNvPr id="4" name="TextBox 3">
          <a:extLst>
            <a:ext uri="{FF2B5EF4-FFF2-40B4-BE49-F238E27FC236}">
              <a16:creationId xmlns:a16="http://schemas.microsoft.com/office/drawing/2014/main" id="{901D48A5-6094-E1A5-84E6-4570C2EF3ECD}"/>
            </a:ext>
            <a:ext uri="{147F2762-F138-4A5C-976F-8EAC2B608ADB}">
              <a16:predDERef xmlns:a16="http://schemas.microsoft.com/office/drawing/2014/main" pred="{66FAE09A-7EB4-4F1D-9277-1E6E6FBA8E1A}"/>
            </a:ext>
          </a:extLst>
        </xdr:cNvPr>
        <xdr:cNvSpPr txBox="1"/>
      </xdr:nvSpPr>
      <xdr:spPr>
        <a:xfrm>
          <a:off x="2590800" y="200025"/>
          <a:ext cx="7048500" cy="657225"/>
        </a:xfrm>
        <a:prstGeom prst="rect">
          <a:avLst/>
        </a:prstGeom>
        <a:noFill/>
        <a:ln w="9525" cmpd="sng">
          <a:noFill/>
        </a:ln>
      </xdr:spPr>
      <xdr:txBody>
        <a:bodyPr spcFirstLastPara="0" vertOverflow="clip" horzOverflow="clip" wrap="square" lIns="91440" tIns="45720" rIns="91440" bIns="45720" rtlCol="0" anchor="t">
          <a:noAutofit/>
        </a:bodyPr>
        <a:lstStyle/>
        <a:p>
          <a:pPr marL="0" indent="0" algn="ctr"/>
          <a:r>
            <a:rPr lang="en-US" sz="3600" b="1">
              <a:solidFill>
                <a:schemeClr val="bg1"/>
              </a:solidFill>
              <a:latin typeface="+mn-lt"/>
              <a:ea typeface="+mn-lt"/>
              <a:cs typeface="+mn-lt"/>
            </a:rPr>
            <a:t>HR Analytics Team Dashboard</a:t>
          </a:r>
        </a:p>
      </xdr:txBody>
    </xdr:sp>
    <xdr:clientData/>
  </xdr:twoCellAnchor>
  <xdr:twoCellAnchor>
    <xdr:from>
      <xdr:col>0</xdr:col>
      <xdr:colOff>95250</xdr:colOff>
      <xdr:row>5</xdr:row>
      <xdr:rowOff>57150</xdr:rowOff>
    </xdr:from>
    <xdr:to>
      <xdr:col>2</xdr:col>
      <xdr:colOff>123825</xdr:colOff>
      <xdr:row>35</xdr:row>
      <xdr:rowOff>0</xdr:rowOff>
    </xdr:to>
    <xdr:sp macro="" textlink="">
      <xdr:nvSpPr>
        <xdr:cNvPr id="5" name="Rectangle 4">
          <a:extLst>
            <a:ext uri="{FF2B5EF4-FFF2-40B4-BE49-F238E27FC236}">
              <a16:creationId xmlns:a16="http://schemas.microsoft.com/office/drawing/2014/main" id="{C4A0A20C-9B03-4EE5-8047-F4A26BEC4C15}"/>
            </a:ext>
            <a:ext uri="{147F2762-F138-4A5C-976F-8EAC2B608ADB}">
              <a16:predDERef xmlns:a16="http://schemas.microsoft.com/office/drawing/2014/main" pred="{901D48A5-6094-E1A5-84E6-4570C2EF3ECD}"/>
            </a:ext>
          </a:extLst>
        </xdr:cNvPr>
        <xdr:cNvSpPr/>
      </xdr:nvSpPr>
      <xdr:spPr>
        <a:xfrm>
          <a:off x="95250" y="1009650"/>
          <a:ext cx="1247775" cy="5657850"/>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2</xdr:col>
      <xdr:colOff>200025</xdr:colOff>
      <xdr:row>5</xdr:row>
      <xdr:rowOff>66675</xdr:rowOff>
    </xdr:from>
    <xdr:to>
      <xdr:col>5</xdr:col>
      <xdr:colOff>447675</xdr:colOff>
      <xdr:row>9</xdr:row>
      <xdr:rowOff>152400</xdr:rowOff>
    </xdr:to>
    <xdr:sp macro="" textlink="">
      <xdr:nvSpPr>
        <xdr:cNvPr id="6" name="Rectangle 5">
          <a:extLst>
            <a:ext uri="{FF2B5EF4-FFF2-40B4-BE49-F238E27FC236}">
              <a16:creationId xmlns:a16="http://schemas.microsoft.com/office/drawing/2014/main" id="{A8CC5B84-ED0A-4AB9-BD89-C8B899B7BC77}"/>
            </a:ext>
            <a:ext uri="{147F2762-F138-4A5C-976F-8EAC2B608ADB}">
              <a16:predDERef xmlns:a16="http://schemas.microsoft.com/office/drawing/2014/main" pred="{C4A0A20C-9B03-4EE5-8047-F4A26BEC4C15}"/>
            </a:ext>
          </a:extLst>
        </xdr:cNvPr>
        <xdr:cNvSpPr/>
      </xdr:nvSpPr>
      <xdr:spPr>
        <a:xfrm>
          <a:off x="1419225" y="1019175"/>
          <a:ext cx="2076450" cy="8477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lt"/>
            <a:cs typeface="+mn-lt"/>
          </a:endParaRPr>
        </a:p>
      </xdr:txBody>
    </xdr:sp>
    <xdr:clientData/>
  </xdr:twoCellAnchor>
  <xdr:twoCellAnchor>
    <xdr:from>
      <xdr:col>5</xdr:col>
      <xdr:colOff>504825</xdr:colOff>
      <xdr:row>5</xdr:row>
      <xdr:rowOff>66675</xdr:rowOff>
    </xdr:from>
    <xdr:to>
      <xdr:col>9</xdr:col>
      <xdr:colOff>142875</xdr:colOff>
      <xdr:row>9</xdr:row>
      <xdr:rowOff>152400</xdr:rowOff>
    </xdr:to>
    <xdr:sp macro="" textlink="">
      <xdr:nvSpPr>
        <xdr:cNvPr id="7" name="Rectangle 6">
          <a:extLst>
            <a:ext uri="{FF2B5EF4-FFF2-40B4-BE49-F238E27FC236}">
              <a16:creationId xmlns:a16="http://schemas.microsoft.com/office/drawing/2014/main" id="{32E10C5A-0236-40F4-8996-D9C9CE52D274}"/>
            </a:ext>
            <a:ext uri="{147F2762-F138-4A5C-976F-8EAC2B608ADB}">
              <a16:predDERef xmlns:a16="http://schemas.microsoft.com/office/drawing/2014/main" pred="{A8CC5B84-ED0A-4AB9-BD89-C8B899B7BC77}"/>
            </a:ext>
          </a:extLst>
        </xdr:cNvPr>
        <xdr:cNvSpPr/>
      </xdr:nvSpPr>
      <xdr:spPr>
        <a:xfrm>
          <a:off x="3552825" y="1019175"/>
          <a:ext cx="2076450" cy="8477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lt"/>
            <a:cs typeface="+mn-lt"/>
          </a:endParaRPr>
        </a:p>
      </xdr:txBody>
    </xdr:sp>
    <xdr:clientData/>
  </xdr:twoCellAnchor>
  <xdr:twoCellAnchor>
    <xdr:from>
      <xdr:col>9</xdr:col>
      <xdr:colOff>209550</xdr:colOff>
      <xdr:row>5</xdr:row>
      <xdr:rowOff>66675</xdr:rowOff>
    </xdr:from>
    <xdr:to>
      <xdr:col>12</xdr:col>
      <xdr:colOff>457200</xdr:colOff>
      <xdr:row>9</xdr:row>
      <xdr:rowOff>152400</xdr:rowOff>
    </xdr:to>
    <xdr:sp macro="" textlink="">
      <xdr:nvSpPr>
        <xdr:cNvPr id="8" name="Rectangle 7">
          <a:extLst>
            <a:ext uri="{FF2B5EF4-FFF2-40B4-BE49-F238E27FC236}">
              <a16:creationId xmlns:a16="http://schemas.microsoft.com/office/drawing/2014/main" id="{F2FD2501-8EA5-488D-86DA-8AA5FE87A0DA}"/>
            </a:ext>
            <a:ext uri="{147F2762-F138-4A5C-976F-8EAC2B608ADB}">
              <a16:predDERef xmlns:a16="http://schemas.microsoft.com/office/drawing/2014/main" pred="{32E10C5A-0236-40F4-8996-D9C9CE52D274}"/>
            </a:ext>
          </a:extLst>
        </xdr:cNvPr>
        <xdr:cNvSpPr/>
      </xdr:nvSpPr>
      <xdr:spPr>
        <a:xfrm>
          <a:off x="5695950" y="1019175"/>
          <a:ext cx="2076450" cy="8477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12</xdr:col>
      <xdr:colOff>523875</xdr:colOff>
      <xdr:row>5</xdr:row>
      <xdr:rowOff>66675</xdr:rowOff>
    </xdr:from>
    <xdr:to>
      <xdr:col>16</xdr:col>
      <xdr:colOff>161925</xdr:colOff>
      <xdr:row>9</xdr:row>
      <xdr:rowOff>152400</xdr:rowOff>
    </xdr:to>
    <xdr:sp macro="" textlink="">
      <xdr:nvSpPr>
        <xdr:cNvPr id="9" name="Rectangle 8">
          <a:extLst>
            <a:ext uri="{FF2B5EF4-FFF2-40B4-BE49-F238E27FC236}">
              <a16:creationId xmlns:a16="http://schemas.microsoft.com/office/drawing/2014/main" id="{1379C363-87AC-4FCF-A3EF-58EB5F152C6E}"/>
            </a:ext>
            <a:ext uri="{147F2762-F138-4A5C-976F-8EAC2B608ADB}">
              <a16:predDERef xmlns:a16="http://schemas.microsoft.com/office/drawing/2014/main" pred="{F2FD2501-8EA5-488D-86DA-8AA5FE87A0DA}"/>
            </a:ext>
          </a:extLst>
        </xdr:cNvPr>
        <xdr:cNvSpPr/>
      </xdr:nvSpPr>
      <xdr:spPr>
        <a:xfrm>
          <a:off x="7839075" y="1019175"/>
          <a:ext cx="2076450" cy="8477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16</xdr:col>
      <xdr:colOff>238125</xdr:colOff>
      <xdr:row>5</xdr:row>
      <xdr:rowOff>66675</xdr:rowOff>
    </xdr:from>
    <xdr:to>
      <xdr:col>19</xdr:col>
      <xdr:colOff>485775</xdr:colOff>
      <xdr:row>9</xdr:row>
      <xdr:rowOff>152400</xdr:rowOff>
    </xdr:to>
    <xdr:sp macro="" textlink="">
      <xdr:nvSpPr>
        <xdr:cNvPr id="10" name="Rectangle 9">
          <a:extLst>
            <a:ext uri="{FF2B5EF4-FFF2-40B4-BE49-F238E27FC236}">
              <a16:creationId xmlns:a16="http://schemas.microsoft.com/office/drawing/2014/main" id="{94DE0F3C-F655-4AC9-9012-74B6E6A48F12}"/>
            </a:ext>
            <a:ext uri="{147F2762-F138-4A5C-976F-8EAC2B608ADB}">
              <a16:predDERef xmlns:a16="http://schemas.microsoft.com/office/drawing/2014/main" pred="{1379C363-87AC-4FCF-A3EF-58EB5F152C6E}"/>
            </a:ext>
          </a:extLst>
        </xdr:cNvPr>
        <xdr:cNvSpPr/>
      </xdr:nvSpPr>
      <xdr:spPr>
        <a:xfrm>
          <a:off x="9991725" y="1019175"/>
          <a:ext cx="2076450" cy="8477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2</xdr:col>
      <xdr:colOff>200025</xdr:colOff>
      <xdr:row>10</xdr:row>
      <xdr:rowOff>19050</xdr:rowOff>
    </xdr:from>
    <xdr:to>
      <xdr:col>8</xdr:col>
      <xdr:colOff>400050</xdr:colOff>
      <xdr:row>22</xdr:row>
      <xdr:rowOff>95250</xdr:rowOff>
    </xdr:to>
    <xdr:sp macro="" textlink="">
      <xdr:nvSpPr>
        <xdr:cNvPr id="11" name="Rectangle 10">
          <a:extLst>
            <a:ext uri="{FF2B5EF4-FFF2-40B4-BE49-F238E27FC236}">
              <a16:creationId xmlns:a16="http://schemas.microsoft.com/office/drawing/2014/main" id="{4D6C6766-9C4A-4C00-ACFF-65A625D0999E}"/>
            </a:ext>
            <a:ext uri="{147F2762-F138-4A5C-976F-8EAC2B608ADB}">
              <a16:predDERef xmlns:a16="http://schemas.microsoft.com/office/drawing/2014/main" pred="{94DE0F3C-F655-4AC9-9012-74B6E6A48F12}"/>
            </a:ext>
          </a:extLst>
        </xdr:cNvPr>
        <xdr:cNvSpPr/>
      </xdr:nvSpPr>
      <xdr:spPr>
        <a:xfrm>
          <a:off x="1419225" y="1924050"/>
          <a:ext cx="3857625" cy="236220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lt"/>
            <a:cs typeface="+mn-lt"/>
          </a:endParaRPr>
        </a:p>
      </xdr:txBody>
    </xdr:sp>
    <xdr:clientData/>
  </xdr:twoCellAnchor>
  <xdr:twoCellAnchor>
    <xdr:from>
      <xdr:col>8</xdr:col>
      <xdr:colOff>476250</xdr:colOff>
      <xdr:row>10</xdr:row>
      <xdr:rowOff>19050</xdr:rowOff>
    </xdr:from>
    <xdr:to>
      <xdr:col>13</xdr:col>
      <xdr:colOff>123825</xdr:colOff>
      <xdr:row>22</xdr:row>
      <xdr:rowOff>95250</xdr:rowOff>
    </xdr:to>
    <xdr:sp macro="" textlink="">
      <xdr:nvSpPr>
        <xdr:cNvPr id="12" name="Rectangle 11">
          <a:extLst>
            <a:ext uri="{FF2B5EF4-FFF2-40B4-BE49-F238E27FC236}">
              <a16:creationId xmlns:a16="http://schemas.microsoft.com/office/drawing/2014/main" id="{D9B2569B-8F06-4E25-8E44-02CA01BB67BF}"/>
            </a:ext>
            <a:ext uri="{147F2762-F138-4A5C-976F-8EAC2B608ADB}">
              <a16:predDERef xmlns:a16="http://schemas.microsoft.com/office/drawing/2014/main" pred="{4D6C6766-9C4A-4C00-ACFF-65A625D0999E}"/>
            </a:ext>
          </a:extLst>
        </xdr:cNvPr>
        <xdr:cNvSpPr/>
      </xdr:nvSpPr>
      <xdr:spPr>
        <a:xfrm>
          <a:off x="5386917" y="1924050"/>
          <a:ext cx="2716741" cy="236220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13</xdr:col>
      <xdr:colOff>190500</xdr:colOff>
      <xdr:row>10</xdr:row>
      <xdr:rowOff>19050</xdr:rowOff>
    </xdr:from>
    <xdr:to>
      <xdr:col>19</xdr:col>
      <xdr:colOff>476250</xdr:colOff>
      <xdr:row>22</xdr:row>
      <xdr:rowOff>95250</xdr:rowOff>
    </xdr:to>
    <xdr:sp macro="" textlink="">
      <xdr:nvSpPr>
        <xdr:cNvPr id="13" name="Rectangle 12">
          <a:extLst>
            <a:ext uri="{FF2B5EF4-FFF2-40B4-BE49-F238E27FC236}">
              <a16:creationId xmlns:a16="http://schemas.microsoft.com/office/drawing/2014/main" id="{C029FA78-F4A2-424A-9869-DB1D6A0CC322}"/>
            </a:ext>
            <a:ext uri="{147F2762-F138-4A5C-976F-8EAC2B608ADB}">
              <a16:predDERef xmlns:a16="http://schemas.microsoft.com/office/drawing/2014/main" pred="{D9B2569B-8F06-4E25-8E44-02CA01BB67BF}"/>
            </a:ext>
          </a:extLst>
        </xdr:cNvPr>
        <xdr:cNvSpPr/>
      </xdr:nvSpPr>
      <xdr:spPr>
        <a:xfrm>
          <a:off x="8115300" y="1924050"/>
          <a:ext cx="3943350" cy="236220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2</xdr:col>
      <xdr:colOff>200025</xdr:colOff>
      <xdr:row>22</xdr:row>
      <xdr:rowOff>142875</xdr:rowOff>
    </xdr:from>
    <xdr:to>
      <xdr:col>6</xdr:col>
      <xdr:colOff>361950</xdr:colOff>
      <xdr:row>35</xdr:row>
      <xdr:rowOff>9525</xdr:rowOff>
    </xdr:to>
    <xdr:sp macro="" textlink="">
      <xdr:nvSpPr>
        <xdr:cNvPr id="14" name="Rectangle 13">
          <a:extLst>
            <a:ext uri="{FF2B5EF4-FFF2-40B4-BE49-F238E27FC236}">
              <a16:creationId xmlns:a16="http://schemas.microsoft.com/office/drawing/2014/main" id="{5F1E6F65-26B6-48BB-97A3-5F06B93A1371}"/>
            </a:ext>
            <a:ext uri="{147F2762-F138-4A5C-976F-8EAC2B608ADB}">
              <a16:predDERef xmlns:a16="http://schemas.microsoft.com/office/drawing/2014/main" pred="{C029FA78-F4A2-424A-9869-DB1D6A0CC322}"/>
            </a:ext>
          </a:extLst>
        </xdr:cNvPr>
        <xdr:cNvSpPr/>
      </xdr:nvSpPr>
      <xdr:spPr>
        <a:xfrm>
          <a:off x="1419225" y="4333875"/>
          <a:ext cx="2600325" cy="234315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6</xdr:col>
      <xdr:colOff>428625</xdr:colOff>
      <xdr:row>22</xdr:row>
      <xdr:rowOff>142875</xdr:rowOff>
    </xdr:from>
    <xdr:to>
      <xdr:col>11</xdr:col>
      <xdr:colOff>428625</xdr:colOff>
      <xdr:row>35</xdr:row>
      <xdr:rowOff>9525</xdr:rowOff>
    </xdr:to>
    <xdr:sp macro="" textlink="">
      <xdr:nvSpPr>
        <xdr:cNvPr id="15" name="Rectangle 14">
          <a:extLst>
            <a:ext uri="{FF2B5EF4-FFF2-40B4-BE49-F238E27FC236}">
              <a16:creationId xmlns:a16="http://schemas.microsoft.com/office/drawing/2014/main" id="{C9C16336-BC6C-4C9C-8D4A-B44889421ADB}"/>
            </a:ext>
            <a:ext uri="{147F2762-F138-4A5C-976F-8EAC2B608ADB}">
              <a16:predDERef xmlns:a16="http://schemas.microsoft.com/office/drawing/2014/main" pred="{5F1E6F65-26B6-48BB-97A3-5F06B93A1371}"/>
            </a:ext>
          </a:extLst>
        </xdr:cNvPr>
        <xdr:cNvSpPr/>
      </xdr:nvSpPr>
      <xdr:spPr>
        <a:xfrm>
          <a:off x="4086225" y="4333875"/>
          <a:ext cx="3048000" cy="234315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11</xdr:col>
      <xdr:colOff>500159</xdr:colOff>
      <xdr:row>22</xdr:row>
      <xdr:rowOff>157454</xdr:rowOff>
    </xdr:from>
    <xdr:to>
      <xdr:col>15</xdr:col>
      <xdr:colOff>100109</xdr:colOff>
      <xdr:row>35</xdr:row>
      <xdr:rowOff>33629</xdr:rowOff>
    </xdr:to>
    <xdr:sp macro="" textlink="">
      <xdr:nvSpPr>
        <xdr:cNvPr id="16" name="Rectangle 15">
          <a:extLst>
            <a:ext uri="{FF2B5EF4-FFF2-40B4-BE49-F238E27FC236}">
              <a16:creationId xmlns:a16="http://schemas.microsoft.com/office/drawing/2014/main" id="{5515DDA8-EB8B-47AD-A79B-94B950A27F21}"/>
            </a:ext>
            <a:ext uri="{147F2762-F138-4A5C-976F-8EAC2B608ADB}">
              <a16:predDERef xmlns:a16="http://schemas.microsoft.com/office/drawing/2014/main" pred="{C9C16336-BC6C-4C9C-8D4A-B44889421ADB}"/>
            </a:ext>
          </a:extLst>
        </xdr:cNvPr>
        <xdr:cNvSpPr/>
      </xdr:nvSpPr>
      <xdr:spPr>
        <a:xfrm>
          <a:off x="7208966" y="4327071"/>
          <a:ext cx="2039517" cy="234004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15</xdr:col>
      <xdr:colOff>171450</xdr:colOff>
      <xdr:row>22</xdr:row>
      <xdr:rowOff>142875</xdr:rowOff>
    </xdr:from>
    <xdr:to>
      <xdr:col>19</xdr:col>
      <xdr:colOff>476250</xdr:colOff>
      <xdr:row>35</xdr:row>
      <xdr:rowOff>9525</xdr:rowOff>
    </xdr:to>
    <xdr:sp macro="" textlink="">
      <xdr:nvSpPr>
        <xdr:cNvPr id="17" name="Rectangle 16">
          <a:extLst>
            <a:ext uri="{FF2B5EF4-FFF2-40B4-BE49-F238E27FC236}">
              <a16:creationId xmlns:a16="http://schemas.microsoft.com/office/drawing/2014/main" id="{6F789A06-C9F8-4AC8-8FFB-4183801AEB20}"/>
            </a:ext>
            <a:ext uri="{147F2762-F138-4A5C-976F-8EAC2B608ADB}">
              <a16:predDERef xmlns:a16="http://schemas.microsoft.com/office/drawing/2014/main" pred="{5515DDA8-EB8B-47AD-A79B-94B950A27F21}"/>
            </a:ext>
          </a:extLst>
        </xdr:cNvPr>
        <xdr:cNvSpPr/>
      </xdr:nvSpPr>
      <xdr:spPr>
        <a:xfrm>
          <a:off x="9315450" y="4333875"/>
          <a:ext cx="2743200" cy="234315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editAs="oneCell">
    <xdr:from>
      <xdr:col>5</xdr:col>
      <xdr:colOff>582083</xdr:colOff>
      <xdr:row>5</xdr:row>
      <xdr:rowOff>187673</xdr:rowOff>
    </xdr:from>
    <xdr:to>
      <xdr:col>6</xdr:col>
      <xdr:colOff>571500</xdr:colOff>
      <xdr:row>9</xdr:row>
      <xdr:rowOff>25399</xdr:rowOff>
    </xdr:to>
    <xdr:pic>
      <xdr:nvPicPr>
        <xdr:cNvPr id="22" name="Picture 21">
          <a:extLst>
            <a:ext uri="{FF2B5EF4-FFF2-40B4-BE49-F238E27FC236}">
              <a16:creationId xmlns:a16="http://schemas.microsoft.com/office/drawing/2014/main" id="{52CF6676-E751-5262-1A6D-136BF8F5ACA2}"/>
            </a:ext>
            <a:ext uri="{147F2762-F138-4A5C-976F-8EAC2B608ADB}">
              <a16:predDERef xmlns:a16="http://schemas.microsoft.com/office/drawing/2014/main" pred="{A2B4254D-7991-6C6D-3222-548B17F228D5}"/>
            </a:ext>
          </a:extLst>
        </xdr:cNvPr>
        <xdr:cNvPicPr>
          <a:picLocks noChangeAspect="1"/>
        </xdr:cNvPicPr>
      </xdr:nvPicPr>
      <xdr:blipFill>
        <a:blip xmlns:r="http://schemas.openxmlformats.org/officeDocument/2006/relationships" r:embed="rId1"/>
        <a:stretch>
          <a:fillRect/>
        </a:stretch>
      </xdr:blipFill>
      <xdr:spPr>
        <a:xfrm>
          <a:off x="3630083" y="1140173"/>
          <a:ext cx="599017" cy="599726"/>
        </a:xfrm>
        <a:prstGeom prst="rect">
          <a:avLst/>
        </a:prstGeom>
      </xdr:spPr>
    </xdr:pic>
    <xdr:clientData/>
  </xdr:twoCellAnchor>
  <xdr:twoCellAnchor editAs="oneCell">
    <xdr:from>
      <xdr:col>0</xdr:col>
      <xdr:colOff>285750</xdr:colOff>
      <xdr:row>0</xdr:row>
      <xdr:rowOff>149066</xdr:rowOff>
    </xdr:from>
    <xdr:to>
      <xdr:col>1</xdr:col>
      <xdr:colOff>485775</xdr:colOff>
      <xdr:row>4</xdr:row>
      <xdr:rowOff>123825</xdr:rowOff>
    </xdr:to>
    <xdr:pic>
      <xdr:nvPicPr>
        <xdr:cNvPr id="24" name="Picture 23">
          <a:extLst>
            <a:ext uri="{FF2B5EF4-FFF2-40B4-BE49-F238E27FC236}">
              <a16:creationId xmlns:a16="http://schemas.microsoft.com/office/drawing/2014/main" id="{B8DA53B0-A2AA-76E7-1FBD-DD855804938B}"/>
            </a:ext>
            <a:ext uri="{147F2762-F138-4A5C-976F-8EAC2B608ADB}">
              <a16:predDERef xmlns:a16="http://schemas.microsoft.com/office/drawing/2014/main" pred="{52CF6676-E751-5262-1A6D-136BF8F5ACA2}"/>
            </a:ext>
          </a:extLst>
        </xdr:cNvPr>
        <xdr:cNvPicPr>
          <a:picLocks noChangeAspect="1"/>
        </xdr:cNvPicPr>
      </xdr:nvPicPr>
      <xdr:blipFill>
        <a:blip xmlns:r="http://schemas.openxmlformats.org/officeDocument/2006/relationships" r:embed="rId2"/>
        <a:stretch>
          <a:fillRect/>
        </a:stretch>
      </xdr:blipFill>
      <xdr:spPr>
        <a:xfrm>
          <a:off x="285750" y="149066"/>
          <a:ext cx="809625" cy="736759"/>
        </a:xfrm>
        <a:prstGeom prst="rect">
          <a:avLst/>
        </a:prstGeom>
      </xdr:spPr>
    </xdr:pic>
    <xdr:clientData/>
  </xdr:twoCellAnchor>
  <xdr:twoCellAnchor editAs="oneCell">
    <xdr:from>
      <xdr:col>9</xdr:col>
      <xdr:colOff>257175</xdr:colOff>
      <xdr:row>6</xdr:row>
      <xdr:rowOff>12277</xdr:rowOff>
    </xdr:from>
    <xdr:to>
      <xdr:col>10</xdr:col>
      <xdr:colOff>228600</xdr:colOff>
      <xdr:row>9</xdr:row>
      <xdr:rowOff>22225</xdr:rowOff>
    </xdr:to>
    <xdr:pic>
      <xdr:nvPicPr>
        <xdr:cNvPr id="26" name="Picture 25">
          <a:extLst>
            <a:ext uri="{FF2B5EF4-FFF2-40B4-BE49-F238E27FC236}">
              <a16:creationId xmlns:a16="http://schemas.microsoft.com/office/drawing/2014/main" id="{A8FAFBE0-224E-F782-A7E0-80D08E13EF08}"/>
            </a:ext>
            <a:ext uri="{147F2762-F138-4A5C-976F-8EAC2B608ADB}">
              <a16:predDERef xmlns:a16="http://schemas.microsoft.com/office/drawing/2014/main" pred="{B8DA53B0-A2AA-76E7-1FBD-DD855804938B}"/>
            </a:ext>
          </a:extLst>
        </xdr:cNvPr>
        <xdr:cNvPicPr>
          <a:picLocks noChangeAspect="1"/>
        </xdr:cNvPicPr>
      </xdr:nvPicPr>
      <xdr:blipFill>
        <a:blip xmlns:r="http://schemas.openxmlformats.org/officeDocument/2006/relationships" r:embed="rId3"/>
        <a:stretch>
          <a:fillRect/>
        </a:stretch>
      </xdr:blipFill>
      <xdr:spPr>
        <a:xfrm>
          <a:off x="5743575" y="1155277"/>
          <a:ext cx="581025" cy="581448"/>
        </a:xfrm>
        <a:prstGeom prst="rect">
          <a:avLst/>
        </a:prstGeom>
      </xdr:spPr>
    </xdr:pic>
    <xdr:clientData/>
  </xdr:twoCellAnchor>
  <xdr:twoCellAnchor editAs="oneCell">
    <xdr:from>
      <xdr:col>2</xdr:col>
      <xdr:colOff>268817</xdr:colOff>
      <xdr:row>5</xdr:row>
      <xdr:rowOff>186221</xdr:rowOff>
    </xdr:from>
    <xdr:to>
      <xdr:col>3</xdr:col>
      <xdr:colOff>304800</xdr:colOff>
      <xdr:row>9</xdr:row>
      <xdr:rowOff>16933</xdr:rowOff>
    </xdr:to>
    <xdr:pic>
      <xdr:nvPicPr>
        <xdr:cNvPr id="27" name="Picture 26">
          <a:extLst>
            <a:ext uri="{FF2B5EF4-FFF2-40B4-BE49-F238E27FC236}">
              <a16:creationId xmlns:a16="http://schemas.microsoft.com/office/drawing/2014/main" id="{5A7C3408-A436-7B61-B594-257D6A901540}"/>
            </a:ext>
            <a:ext uri="{147F2762-F138-4A5C-976F-8EAC2B608ADB}">
              <a16:predDERef xmlns:a16="http://schemas.microsoft.com/office/drawing/2014/main" pred="{A8FAFBE0-224E-F782-A7E0-80D08E13EF08}"/>
            </a:ext>
          </a:extLst>
        </xdr:cNvPr>
        <xdr:cNvPicPr>
          <a:picLocks noChangeAspect="1"/>
        </xdr:cNvPicPr>
      </xdr:nvPicPr>
      <xdr:blipFill>
        <a:blip xmlns:r="http://schemas.openxmlformats.org/officeDocument/2006/relationships" r:embed="rId4"/>
        <a:stretch>
          <a:fillRect/>
        </a:stretch>
      </xdr:blipFill>
      <xdr:spPr>
        <a:xfrm>
          <a:off x="1488017" y="1138721"/>
          <a:ext cx="645583" cy="592712"/>
        </a:xfrm>
        <a:prstGeom prst="rect">
          <a:avLst/>
        </a:prstGeom>
      </xdr:spPr>
    </xdr:pic>
    <xdr:clientData/>
  </xdr:twoCellAnchor>
  <xdr:twoCellAnchor>
    <xdr:from>
      <xdr:col>3</xdr:col>
      <xdr:colOff>333376</xdr:colOff>
      <xdr:row>5</xdr:row>
      <xdr:rowOff>104775</xdr:rowOff>
    </xdr:from>
    <xdr:to>
      <xdr:col>5</xdr:col>
      <xdr:colOff>440532</xdr:colOff>
      <xdr:row>7</xdr:row>
      <xdr:rowOff>19050</xdr:rowOff>
    </xdr:to>
    <xdr:sp macro="" textlink="">
      <xdr:nvSpPr>
        <xdr:cNvPr id="29" name="TextBox 28">
          <a:extLst>
            <a:ext uri="{FF2B5EF4-FFF2-40B4-BE49-F238E27FC236}">
              <a16:creationId xmlns:a16="http://schemas.microsoft.com/office/drawing/2014/main" id="{D1768834-2E35-D5CB-8703-680734529551}"/>
            </a:ext>
            <a:ext uri="{147F2762-F138-4A5C-976F-8EAC2B608ADB}">
              <a16:predDERef xmlns:a16="http://schemas.microsoft.com/office/drawing/2014/main" pred="{5A7C3408-A436-7B61-B594-257D6A901540}"/>
            </a:ext>
          </a:extLst>
        </xdr:cNvPr>
        <xdr:cNvSpPr txBox="1"/>
      </xdr:nvSpPr>
      <xdr:spPr>
        <a:xfrm>
          <a:off x="2155032" y="1057275"/>
          <a:ext cx="1321594" cy="295275"/>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800" b="1">
              <a:solidFill>
                <a:schemeClr val="bg2">
                  <a:lumMod val="25000"/>
                </a:schemeClr>
              </a:solidFill>
              <a:latin typeface="+mn-lt"/>
              <a:ea typeface="+mn-lt"/>
              <a:cs typeface="+mn-lt"/>
            </a:rPr>
            <a:t>Overall HC</a:t>
          </a:r>
        </a:p>
      </xdr:txBody>
    </xdr:sp>
    <xdr:clientData/>
  </xdr:twoCellAnchor>
  <xdr:twoCellAnchor>
    <xdr:from>
      <xdr:col>7</xdr:col>
      <xdr:colOff>83344</xdr:colOff>
      <xdr:row>5</xdr:row>
      <xdr:rowOff>114300</xdr:rowOff>
    </xdr:from>
    <xdr:to>
      <xdr:col>9</xdr:col>
      <xdr:colOff>130968</xdr:colOff>
      <xdr:row>7</xdr:row>
      <xdr:rowOff>28575</xdr:rowOff>
    </xdr:to>
    <xdr:sp macro="" textlink="">
      <xdr:nvSpPr>
        <xdr:cNvPr id="30" name="TextBox 29">
          <a:extLst>
            <a:ext uri="{FF2B5EF4-FFF2-40B4-BE49-F238E27FC236}">
              <a16:creationId xmlns:a16="http://schemas.microsoft.com/office/drawing/2014/main" id="{073A5E1C-2704-4220-B83B-980F214BD38C}"/>
            </a:ext>
            <a:ext uri="{147F2762-F138-4A5C-976F-8EAC2B608ADB}">
              <a16:predDERef xmlns:a16="http://schemas.microsoft.com/office/drawing/2014/main" pred="{D1768834-2E35-D5CB-8703-680734529551}"/>
            </a:ext>
          </a:extLst>
        </xdr:cNvPr>
        <xdr:cNvSpPr txBox="1"/>
      </xdr:nvSpPr>
      <xdr:spPr>
        <a:xfrm>
          <a:off x="4333875" y="1066800"/>
          <a:ext cx="1262062" cy="295275"/>
        </a:xfrm>
        <a:prstGeom prst="rect">
          <a:avLst/>
        </a:prstGeom>
        <a:noFill/>
        <a:ln w="9525" cmpd="sng">
          <a:noFill/>
        </a:ln>
      </xdr:spPr>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r>
            <a:rPr lang="en-US" sz="1800" b="1">
              <a:solidFill>
                <a:schemeClr val="bg2">
                  <a:lumMod val="25000"/>
                </a:schemeClr>
              </a:solidFill>
              <a:latin typeface="+mn-lt"/>
              <a:ea typeface="+mn-lt"/>
              <a:cs typeface="+mn-lt"/>
            </a:rPr>
            <a:t>Active HC</a:t>
          </a:r>
        </a:p>
      </xdr:txBody>
    </xdr:sp>
    <xdr:clientData/>
  </xdr:twoCellAnchor>
  <xdr:twoCellAnchor>
    <xdr:from>
      <xdr:col>10</xdr:col>
      <xdr:colOff>416718</xdr:colOff>
      <xdr:row>5</xdr:row>
      <xdr:rowOff>123825</xdr:rowOff>
    </xdr:from>
    <xdr:to>
      <xdr:col>12</xdr:col>
      <xdr:colOff>440530</xdr:colOff>
      <xdr:row>7</xdr:row>
      <xdr:rowOff>38100</xdr:rowOff>
    </xdr:to>
    <xdr:sp macro="" textlink="">
      <xdr:nvSpPr>
        <xdr:cNvPr id="31" name="TextBox 30">
          <a:extLst>
            <a:ext uri="{FF2B5EF4-FFF2-40B4-BE49-F238E27FC236}">
              <a16:creationId xmlns:a16="http://schemas.microsoft.com/office/drawing/2014/main" id="{328051DD-7393-4BF4-A236-5FC1116476C2}"/>
            </a:ext>
            <a:ext uri="{147F2762-F138-4A5C-976F-8EAC2B608ADB}">
              <a16:predDERef xmlns:a16="http://schemas.microsoft.com/office/drawing/2014/main" pred="{073A5E1C-2704-4220-B83B-980F214BD38C}"/>
            </a:ext>
          </a:extLst>
        </xdr:cNvPr>
        <xdr:cNvSpPr txBox="1"/>
      </xdr:nvSpPr>
      <xdr:spPr>
        <a:xfrm>
          <a:off x="6488906" y="1076325"/>
          <a:ext cx="1238249" cy="295275"/>
        </a:xfrm>
        <a:prstGeom prst="rect">
          <a:avLst/>
        </a:prstGeom>
        <a:noFill/>
        <a:ln w="9525" cmpd="sng">
          <a:noFill/>
        </a:ln>
      </xdr:spPr>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r>
            <a:rPr lang="en-US" sz="1800" b="1">
              <a:solidFill>
                <a:schemeClr val="bg2">
                  <a:lumMod val="25000"/>
                </a:schemeClr>
              </a:solidFill>
              <a:latin typeface="+mn-lt"/>
              <a:ea typeface="+mn-lt"/>
              <a:cs typeface="+mn-lt"/>
            </a:rPr>
            <a:t>Attrition</a:t>
          </a:r>
        </a:p>
      </xdr:txBody>
    </xdr:sp>
    <xdr:clientData/>
  </xdr:twoCellAnchor>
  <xdr:twoCellAnchor>
    <xdr:from>
      <xdr:col>14</xdr:col>
      <xdr:colOff>83344</xdr:colOff>
      <xdr:row>5</xdr:row>
      <xdr:rowOff>123825</xdr:rowOff>
    </xdr:from>
    <xdr:to>
      <xdr:col>16</xdr:col>
      <xdr:colOff>166687</xdr:colOff>
      <xdr:row>7</xdr:row>
      <xdr:rowOff>38100</xdr:rowOff>
    </xdr:to>
    <xdr:sp macro="" textlink="">
      <xdr:nvSpPr>
        <xdr:cNvPr id="32" name="TextBox 31">
          <a:extLst>
            <a:ext uri="{FF2B5EF4-FFF2-40B4-BE49-F238E27FC236}">
              <a16:creationId xmlns:a16="http://schemas.microsoft.com/office/drawing/2014/main" id="{4789FED6-926A-4D45-8540-B01A6D57BD92}"/>
            </a:ext>
            <a:ext uri="{147F2762-F138-4A5C-976F-8EAC2B608ADB}">
              <a16:predDERef xmlns:a16="http://schemas.microsoft.com/office/drawing/2014/main" pred="{328051DD-7393-4BF4-A236-5FC1116476C2}"/>
            </a:ext>
          </a:extLst>
        </xdr:cNvPr>
        <xdr:cNvSpPr txBox="1"/>
      </xdr:nvSpPr>
      <xdr:spPr>
        <a:xfrm>
          <a:off x="8584407" y="1076325"/>
          <a:ext cx="1297780" cy="295275"/>
        </a:xfrm>
        <a:prstGeom prst="rect">
          <a:avLst/>
        </a:prstGeom>
        <a:noFill/>
        <a:ln w="9525" cmpd="sng">
          <a:noFill/>
        </a:ln>
      </xdr:spPr>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r>
            <a:rPr lang="en-US" sz="1800" b="1">
              <a:solidFill>
                <a:schemeClr val="bg2">
                  <a:lumMod val="25000"/>
                </a:schemeClr>
              </a:solidFill>
              <a:latin typeface="+mn-lt"/>
              <a:ea typeface="+mn-lt"/>
              <a:cs typeface="+mn-lt"/>
            </a:rPr>
            <a:t>Attrition %</a:t>
          </a:r>
        </a:p>
      </xdr:txBody>
    </xdr:sp>
    <xdr:clientData/>
  </xdr:twoCellAnchor>
  <xdr:twoCellAnchor>
    <xdr:from>
      <xdr:col>17</xdr:col>
      <xdr:colOff>381000</xdr:colOff>
      <xdr:row>5</xdr:row>
      <xdr:rowOff>133350</xdr:rowOff>
    </xdr:from>
    <xdr:to>
      <xdr:col>19</xdr:col>
      <xdr:colOff>476250</xdr:colOff>
      <xdr:row>7</xdr:row>
      <xdr:rowOff>47625</xdr:rowOff>
    </xdr:to>
    <xdr:sp macro="" textlink="">
      <xdr:nvSpPr>
        <xdr:cNvPr id="33" name="TextBox 32">
          <a:extLst>
            <a:ext uri="{FF2B5EF4-FFF2-40B4-BE49-F238E27FC236}">
              <a16:creationId xmlns:a16="http://schemas.microsoft.com/office/drawing/2014/main" id="{66721792-5C3E-4E82-9249-22ABDCBFD920}"/>
            </a:ext>
            <a:ext uri="{147F2762-F138-4A5C-976F-8EAC2B608ADB}">
              <a16:predDERef xmlns:a16="http://schemas.microsoft.com/office/drawing/2014/main" pred="{4789FED6-926A-4D45-8540-B01A6D57BD92}"/>
            </a:ext>
          </a:extLst>
        </xdr:cNvPr>
        <xdr:cNvSpPr txBox="1"/>
      </xdr:nvSpPr>
      <xdr:spPr>
        <a:xfrm>
          <a:off x="10703719" y="1085850"/>
          <a:ext cx="1309687" cy="295275"/>
        </a:xfrm>
        <a:prstGeom prst="rect">
          <a:avLst/>
        </a:prstGeom>
        <a:noFill/>
        <a:ln w="9525" cmpd="sng">
          <a:noFill/>
        </a:ln>
      </xdr:spPr>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r>
            <a:rPr lang="en-US" sz="1800" b="1">
              <a:solidFill>
                <a:schemeClr val="bg2">
                  <a:lumMod val="25000"/>
                </a:schemeClr>
              </a:solidFill>
              <a:latin typeface="+mn-lt"/>
              <a:ea typeface="+mn-lt"/>
              <a:cs typeface="+mn-lt"/>
            </a:rPr>
            <a:t>Transfer</a:t>
          </a:r>
        </a:p>
      </xdr:txBody>
    </xdr:sp>
    <xdr:clientData/>
  </xdr:twoCellAnchor>
  <xdr:twoCellAnchor editAs="oneCell">
    <xdr:from>
      <xdr:col>16</xdr:col>
      <xdr:colOff>294217</xdr:colOff>
      <xdr:row>5</xdr:row>
      <xdr:rowOff>156194</xdr:rowOff>
    </xdr:from>
    <xdr:to>
      <xdr:col>17</xdr:col>
      <xdr:colOff>323851</xdr:colOff>
      <xdr:row>9</xdr:row>
      <xdr:rowOff>33866</xdr:rowOff>
    </xdr:to>
    <xdr:pic>
      <xdr:nvPicPr>
        <xdr:cNvPr id="35" name="Picture 34">
          <a:extLst>
            <a:ext uri="{FF2B5EF4-FFF2-40B4-BE49-F238E27FC236}">
              <a16:creationId xmlns:a16="http://schemas.microsoft.com/office/drawing/2014/main" id="{C7779FAC-6015-EEE5-561D-5213F969C64D}"/>
            </a:ext>
            <a:ext uri="{147F2762-F138-4A5C-976F-8EAC2B608ADB}">
              <a16:predDERef xmlns:a16="http://schemas.microsoft.com/office/drawing/2014/main" pred="{66721792-5C3E-4E82-9249-22ABDCBFD920}"/>
            </a:ext>
          </a:extLst>
        </xdr:cNvPr>
        <xdr:cNvPicPr>
          <a:picLocks noChangeAspect="1"/>
        </xdr:cNvPicPr>
      </xdr:nvPicPr>
      <xdr:blipFill>
        <a:blip xmlns:r="http://schemas.openxmlformats.org/officeDocument/2006/relationships" r:embed="rId5"/>
        <a:stretch>
          <a:fillRect/>
        </a:stretch>
      </xdr:blipFill>
      <xdr:spPr>
        <a:xfrm>
          <a:off x="10047817" y="1108694"/>
          <a:ext cx="639234" cy="639672"/>
        </a:xfrm>
        <a:prstGeom prst="rect">
          <a:avLst/>
        </a:prstGeom>
      </xdr:spPr>
    </xdr:pic>
    <xdr:clientData/>
  </xdr:twoCellAnchor>
  <xdr:twoCellAnchor editAs="oneCell">
    <xdr:from>
      <xdr:col>13</xdr:col>
      <xdr:colOff>12701</xdr:colOff>
      <xdr:row>6</xdr:row>
      <xdr:rowOff>17040</xdr:rowOff>
    </xdr:from>
    <xdr:to>
      <xdr:col>13</xdr:col>
      <xdr:colOff>571501</xdr:colOff>
      <xdr:row>9</xdr:row>
      <xdr:rowOff>5292</xdr:rowOff>
    </xdr:to>
    <xdr:pic>
      <xdr:nvPicPr>
        <xdr:cNvPr id="38" name="Picture 37">
          <a:extLst>
            <a:ext uri="{FF2B5EF4-FFF2-40B4-BE49-F238E27FC236}">
              <a16:creationId xmlns:a16="http://schemas.microsoft.com/office/drawing/2014/main" id="{331C22EC-C02A-8448-9301-AFE73660EA8A}"/>
            </a:ext>
            <a:ext uri="{147F2762-F138-4A5C-976F-8EAC2B608ADB}">
              <a16:predDERef xmlns:a16="http://schemas.microsoft.com/office/drawing/2014/main" pred="{C7779FAC-6015-EEE5-561D-5213F969C64D}"/>
            </a:ext>
          </a:extLst>
        </xdr:cNvPr>
        <xdr:cNvPicPr>
          <a:picLocks noChangeAspect="1"/>
        </xdr:cNvPicPr>
      </xdr:nvPicPr>
      <xdr:blipFill>
        <a:blip xmlns:r="http://schemas.openxmlformats.org/officeDocument/2006/relationships" r:embed="rId6"/>
        <a:stretch>
          <a:fillRect/>
        </a:stretch>
      </xdr:blipFill>
      <xdr:spPr>
        <a:xfrm>
          <a:off x="7937501" y="1160040"/>
          <a:ext cx="558800" cy="559752"/>
        </a:xfrm>
        <a:prstGeom prst="rect">
          <a:avLst/>
        </a:prstGeom>
      </xdr:spPr>
    </xdr:pic>
    <xdr:clientData/>
  </xdr:twoCellAnchor>
  <xdr:twoCellAnchor>
    <xdr:from>
      <xdr:col>2</xdr:col>
      <xdr:colOff>209550</xdr:colOff>
      <xdr:row>10</xdr:row>
      <xdr:rowOff>28575</xdr:rowOff>
    </xdr:from>
    <xdr:to>
      <xdr:col>8</xdr:col>
      <xdr:colOff>399650</xdr:colOff>
      <xdr:row>22</xdr:row>
      <xdr:rowOff>86591</xdr:rowOff>
    </xdr:to>
    <xdr:graphicFrame macro="">
      <xdr:nvGraphicFramePr>
        <xdr:cNvPr id="39" name="Chart 1">
          <a:extLst>
            <a:ext uri="{FF2B5EF4-FFF2-40B4-BE49-F238E27FC236}">
              <a16:creationId xmlns:a16="http://schemas.microsoft.com/office/drawing/2014/main" id="{3988DD53-472F-490E-804E-BFA4468D4F97}"/>
            </a:ext>
            <a:ext uri="{147F2762-F138-4A5C-976F-8EAC2B608ADB}">
              <a16:predDERef xmlns:a16="http://schemas.microsoft.com/office/drawing/2014/main" pred="{331C22EC-C02A-8448-9301-AFE73660EA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200025</xdr:colOff>
      <xdr:row>10</xdr:row>
      <xdr:rowOff>28575</xdr:rowOff>
    </xdr:from>
    <xdr:to>
      <xdr:col>19</xdr:col>
      <xdr:colOff>486241</xdr:colOff>
      <xdr:row>22</xdr:row>
      <xdr:rowOff>95250</xdr:rowOff>
    </xdr:to>
    <xdr:graphicFrame macro="">
      <xdr:nvGraphicFramePr>
        <xdr:cNvPr id="19" name="Chart 18">
          <a:extLst>
            <a:ext uri="{FF2B5EF4-FFF2-40B4-BE49-F238E27FC236}">
              <a16:creationId xmlns:a16="http://schemas.microsoft.com/office/drawing/2014/main" id="{09B06CC0-8726-40BE-9C40-D0B8A7B9D7E6}"/>
            </a:ext>
            <a:ext uri="{147F2762-F138-4A5C-976F-8EAC2B608ADB}">
              <a16:predDERef xmlns:a16="http://schemas.microsoft.com/office/drawing/2014/main" pred="{9F6AC80D-0060-90DE-EEF5-98B18594B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200025</xdr:colOff>
      <xdr:row>22</xdr:row>
      <xdr:rowOff>133350</xdr:rowOff>
    </xdr:from>
    <xdr:to>
      <xdr:col>6</xdr:col>
      <xdr:colOff>361950</xdr:colOff>
      <xdr:row>35</xdr:row>
      <xdr:rowOff>0</xdr:rowOff>
    </xdr:to>
    <xdr:graphicFrame macro="">
      <xdr:nvGraphicFramePr>
        <xdr:cNvPr id="20" name="Chart 2">
          <a:extLst>
            <a:ext uri="{FF2B5EF4-FFF2-40B4-BE49-F238E27FC236}">
              <a16:creationId xmlns:a16="http://schemas.microsoft.com/office/drawing/2014/main" id="{9BED3715-718D-4967-B3B2-549F0784F2C3}"/>
            </a:ext>
            <a:ext uri="{147F2762-F138-4A5C-976F-8EAC2B608ADB}">
              <a16:predDERef xmlns:a16="http://schemas.microsoft.com/office/drawing/2014/main" pred="{09B06CC0-8726-40BE-9C40-D0B8A7B9D7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428625</xdr:colOff>
      <xdr:row>22</xdr:row>
      <xdr:rowOff>142875</xdr:rowOff>
    </xdr:from>
    <xdr:to>
      <xdr:col>11</xdr:col>
      <xdr:colOff>419100</xdr:colOff>
      <xdr:row>35</xdr:row>
      <xdr:rowOff>0</xdr:rowOff>
    </xdr:to>
    <mc:AlternateContent xmlns:mc="http://schemas.openxmlformats.org/markup-compatibility/2006">
      <mc:Choice xmlns:cx2="http://schemas.microsoft.com/office/drawing/2015/10/21/chartex" Requires="cx2">
        <xdr:graphicFrame macro="">
          <xdr:nvGraphicFramePr>
            <xdr:cNvPr id="21" name="Chart 4">
              <a:extLst>
                <a:ext uri="{FF2B5EF4-FFF2-40B4-BE49-F238E27FC236}">
                  <a16:creationId xmlns:a16="http://schemas.microsoft.com/office/drawing/2014/main" id="{7D36765E-E08B-4096-8163-2D250BA270C5}"/>
                </a:ext>
                <a:ext uri="{147F2762-F138-4A5C-976F-8EAC2B608ADB}">
                  <a16:predDERef xmlns:a16="http://schemas.microsoft.com/office/drawing/2014/main" pred="{9BED3715-718D-4967-B3B2-549F0784F2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4086225" y="4333875"/>
              <a:ext cx="3038475" cy="2333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495300</xdr:colOff>
      <xdr:row>22</xdr:row>
      <xdr:rowOff>133350</xdr:rowOff>
    </xdr:from>
    <xdr:to>
      <xdr:col>15</xdr:col>
      <xdr:colOff>85725</xdr:colOff>
      <xdr:row>35</xdr:row>
      <xdr:rowOff>9525</xdr:rowOff>
    </xdr:to>
    <xdr:graphicFrame macro="">
      <xdr:nvGraphicFramePr>
        <xdr:cNvPr id="23" name="Chart 6">
          <a:extLst>
            <a:ext uri="{FF2B5EF4-FFF2-40B4-BE49-F238E27FC236}">
              <a16:creationId xmlns:a16="http://schemas.microsoft.com/office/drawing/2014/main" id="{A42497CF-65C7-4EC0-B042-11BAF0258B94}"/>
            </a:ext>
            <a:ext uri="{147F2762-F138-4A5C-976F-8EAC2B608ADB}">
              <a16:predDERef xmlns:a16="http://schemas.microsoft.com/office/drawing/2014/main" pred="{7D36765E-E08B-4096-8163-2D250BA270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171450</xdr:colOff>
      <xdr:row>22</xdr:row>
      <xdr:rowOff>142875</xdr:rowOff>
    </xdr:from>
    <xdr:to>
      <xdr:col>19</xdr:col>
      <xdr:colOff>476250</xdr:colOff>
      <xdr:row>35</xdr:row>
      <xdr:rowOff>0</xdr:rowOff>
    </xdr:to>
    <xdr:graphicFrame macro="">
      <xdr:nvGraphicFramePr>
        <xdr:cNvPr id="25" name="Chart 7">
          <a:extLst>
            <a:ext uri="{FF2B5EF4-FFF2-40B4-BE49-F238E27FC236}">
              <a16:creationId xmlns:a16="http://schemas.microsoft.com/office/drawing/2014/main" id="{60A171A3-4F61-4634-B906-E2ECA3CD6FFD}"/>
            </a:ext>
            <a:ext uri="{147F2762-F138-4A5C-976F-8EAC2B608ADB}">
              <a16:predDERef xmlns:a16="http://schemas.microsoft.com/office/drawing/2014/main" pred="{A42497CF-65C7-4EC0-B042-11BAF0258B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464343</xdr:colOff>
      <xdr:row>7</xdr:row>
      <xdr:rowOff>54769</xdr:rowOff>
    </xdr:from>
    <xdr:to>
      <xdr:col>5</xdr:col>
      <xdr:colOff>283368</xdr:colOff>
      <xdr:row>8</xdr:row>
      <xdr:rowOff>159544</xdr:rowOff>
    </xdr:to>
    <xdr:sp macro="" textlink="'Pivot Table'!C17">
      <xdr:nvSpPr>
        <xdr:cNvPr id="28" name="TextBox 27">
          <a:extLst>
            <a:ext uri="{FF2B5EF4-FFF2-40B4-BE49-F238E27FC236}">
              <a16:creationId xmlns:a16="http://schemas.microsoft.com/office/drawing/2014/main" id="{F7234210-BE75-4163-B094-86F69BE1E6B3}"/>
            </a:ext>
            <a:ext uri="{147F2762-F138-4A5C-976F-8EAC2B608ADB}">
              <a16:predDERef xmlns:a16="http://schemas.microsoft.com/office/drawing/2014/main" pred="{5A7C3408-A436-7B61-B594-257D6A901540}"/>
            </a:ext>
          </a:extLst>
        </xdr:cNvPr>
        <xdr:cNvSpPr txBox="1"/>
      </xdr:nvSpPr>
      <xdr:spPr>
        <a:xfrm>
          <a:off x="2285999" y="1388269"/>
          <a:ext cx="1033463" cy="295275"/>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7CFEF6FE-8D38-4652-AB15-004A22166318}" type="TxLink">
            <a:rPr lang="en-US" sz="1800" b="1">
              <a:solidFill>
                <a:schemeClr val="bg2">
                  <a:lumMod val="25000"/>
                </a:schemeClr>
              </a:solidFill>
              <a:latin typeface="+mn-lt"/>
              <a:ea typeface="+mn-lt"/>
              <a:cs typeface="+mn-lt"/>
            </a:rPr>
            <a:pPr marL="0" indent="0" algn="ctr"/>
            <a:t>171</a:t>
          </a:fld>
          <a:endParaRPr lang="en-US" sz="1800" b="1">
            <a:solidFill>
              <a:schemeClr val="bg2">
                <a:lumMod val="25000"/>
              </a:schemeClr>
            </a:solidFill>
            <a:latin typeface="+mn-lt"/>
            <a:ea typeface="+mn-lt"/>
            <a:cs typeface="+mn-lt"/>
          </a:endParaRPr>
        </a:p>
      </xdr:txBody>
    </xdr:sp>
    <xdr:clientData/>
  </xdr:twoCellAnchor>
  <xdr:twoCellAnchor>
    <xdr:from>
      <xdr:col>7</xdr:col>
      <xdr:colOff>176212</xdr:colOff>
      <xdr:row>7</xdr:row>
      <xdr:rowOff>40481</xdr:rowOff>
    </xdr:from>
    <xdr:to>
      <xdr:col>8</xdr:col>
      <xdr:colOff>602456</xdr:colOff>
      <xdr:row>8</xdr:row>
      <xdr:rowOff>145256</xdr:rowOff>
    </xdr:to>
    <xdr:sp macro="" textlink="'Pivot Table'!C18">
      <xdr:nvSpPr>
        <xdr:cNvPr id="34" name="TextBox 33">
          <a:extLst>
            <a:ext uri="{FF2B5EF4-FFF2-40B4-BE49-F238E27FC236}">
              <a16:creationId xmlns:a16="http://schemas.microsoft.com/office/drawing/2014/main" id="{34C750D1-4D7A-4BA6-B020-0F329B2AAFA3}"/>
            </a:ext>
            <a:ext uri="{147F2762-F138-4A5C-976F-8EAC2B608ADB}">
              <a16:predDERef xmlns:a16="http://schemas.microsoft.com/office/drawing/2014/main" pred="{5A7C3408-A436-7B61-B594-257D6A901540}"/>
            </a:ext>
          </a:extLst>
        </xdr:cNvPr>
        <xdr:cNvSpPr txBox="1"/>
      </xdr:nvSpPr>
      <xdr:spPr>
        <a:xfrm>
          <a:off x="4426743" y="1373981"/>
          <a:ext cx="1033463" cy="295275"/>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022A2CF3-A55E-40D4-91B8-5E661165B5E6}" type="TxLink">
            <a:rPr lang="en-US" sz="1800" b="1">
              <a:solidFill>
                <a:schemeClr val="bg2">
                  <a:lumMod val="25000"/>
                </a:schemeClr>
              </a:solidFill>
              <a:latin typeface="+mn-lt"/>
              <a:ea typeface="+mn-lt"/>
              <a:cs typeface="+mn-lt"/>
            </a:rPr>
            <a:pPr marL="0" indent="0" algn="ctr"/>
            <a:t>118</a:t>
          </a:fld>
          <a:endParaRPr lang="en-US" sz="1800" b="1">
            <a:solidFill>
              <a:schemeClr val="bg2">
                <a:lumMod val="25000"/>
              </a:schemeClr>
            </a:solidFill>
            <a:latin typeface="+mn-lt"/>
            <a:ea typeface="+mn-lt"/>
            <a:cs typeface="+mn-lt"/>
          </a:endParaRPr>
        </a:p>
      </xdr:txBody>
    </xdr:sp>
    <xdr:clientData/>
  </xdr:twoCellAnchor>
  <xdr:twoCellAnchor>
    <xdr:from>
      <xdr:col>10</xdr:col>
      <xdr:colOff>507205</xdr:colOff>
      <xdr:row>7</xdr:row>
      <xdr:rowOff>50006</xdr:rowOff>
    </xdr:from>
    <xdr:to>
      <xdr:col>12</xdr:col>
      <xdr:colOff>326231</xdr:colOff>
      <xdr:row>8</xdr:row>
      <xdr:rowOff>154781</xdr:rowOff>
    </xdr:to>
    <xdr:sp macro="" textlink="'Pivot Table'!C19">
      <xdr:nvSpPr>
        <xdr:cNvPr id="36" name="TextBox 35">
          <a:extLst>
            <a:ext uri="{FF2B5EF4-FFF2-40B4-BE49-F238E27FC236}">
              <a16:creationId xmlns:a16="http://schemas.microsoft.com/office/drawing/2014/main" id="{900EA9F3-C5D2-4553-8BA1-79328B200EDE}"/>
            </a:ext>
            <a:ext uri="{147F2762-F138-4A5C-976F-8EAC2B608ADB}">
              <a16:predDERef xmlns:a16="http://schemas.microsoft.com/office/drawing/2014/main" pred="{5A7C3408-A436-7B61-B594-257D6A901540}"/>
            </a:ext>
          </a:extLst>
        </xdr:cNvPr>
        <xdr:cNvSpPr txBox="1"/>
      </xdr:nvSpPr>
      <xdr:spPr>
        <a:xfrm>
          <a:off x="6579393" y="1383506"/>
          <a:ext cx="1033463" cy="295275"/>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661E2F41-8ADE-4D85-9667-730D8361AFBA}" type="TxLink">
            <a:rPr lang="en-US" sz="1800" b="1">
              <a:solidFill>
                <a:schemeClr val="bg2">
                  <a:lumMod val="25000"/>
                </a:schemeClr>
              </a:solidFill>
              <a:latin typeface="+mn-lt"/>
              <a:ea typeface="+mn-lt"/>
              <a:cs typeface="+mn-lt"/>
            </a:rPr>
            <a:pPr marL="0" indent="0" algn="ctr"/>
            <a:t>47</a:t>
          </a:fld>
          <a:endParaRPr lang="en-US" sz="1800" b="1">
            <a:solidFill>
              <a:schemeClr val="bg2">
                <a:lumMod val="25000"/>
              </a:schemeClr>
            </a:solidFill>
            <a:latin typeface="+mn-lt"/>
            <a:ea typeface="+mn-lt"/>
            <a:cs typeface="+mn-lt"/>
          </a:endParaRPr>
        </a:p>
      </xdr:txBody>
    </xdr:sp>
    <xdr:clientData/>
  </xdr:twoCellAnchor>
  <xdr:twoCellAnchor>
    <xdr:from>
      <xdr:col>14</xdr:col>
      <xdr:colOff>183355</xdr:colOff>
      <xdr:row>7</xdr:row>
      <xdr:rowOff>35719</xdr:rowOff>
    </xdr:from>
    <xdr:to>
      <xdr:col>16</xdr:col>
      <xdr:colOff>2381</xdr:colOff>
      <xdr:row>8</xdr:row>
      <xdr:rowOff>140494</xdr:rowOff>
    </xdr:to>
    <xdr:sp macro="" textlink="'Pivot Table'!C20">
      <xdr:nvSpPr>
        <xdr:cNvPr id="37" name="TextBox 36">
          <a:extLst>
            <a:ext uri="{FF2B5EF4-FFF2-40B4-BE49-F238E27FC236}">
              <a16:creationId xmlns:a16="http://schemas.microsoft.com/office/drawing/2014/main" id="{0E79293B-D3E0-4C09-AE55-1F77159DA04A}"/>
            </a:ext>
            <a:ext uri="{147F2762-F138-4A5C-976F-8EAC2B608ADB}">
              <a16:predDERef xmlns:a16="http://schemas.microsoft.com/office/drawing/2014/main" pred="{5A7C3408-A436-7B61-B594-257D6A901540}"/>
            </a:ext>
          </a:extLst>
        </xdr:cNvPr>
        <xdr:cNvSpPr txBox="1"/>
      </xdr:nvSpPr>
      <xdr:spPr>
        <a:xfrm>
          <a:off x="8684418" y="1369219"/>
          <a:ext cx="1033463" cy="295275"/>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D842E2A2-C1A1-4E33-A1F6-DA817BE985FB}" type="TxLink">
            <a:rPr lang="en-US" sz="1800" b="1">
              <a:solidFill>
                <a:schemeClr val="bg2">
                  <a:lumMod val="25000"/>
                </a:schemeClr>
              </a:solidFill>
              <a:latin typeface="+mn-lt"/>
              <a:ea typeface="+mn-lt"/>
              <a:cs typeface="+mn-lt"/>
            </a:rPr>
            <a:pPr marL="0" indent="0" algn="ctr"/>
            <a:t>27%</a:t>
          </a:fld>
          <a:endParaRPr lang="en-US" sz="1800" b="1">
            <a:solidFill>
              <a:schemeClr val="bg2">
                <a:lumMod val="25000"/>
              </a:schemeClr>
            </a:solidFill>
            <a:latin typeface="+mn-lt"/>
            <a:ea typeface="+mn-lt"/>
            <a:cs typeface="+mn-lt"/>
          </a:endParaRPr>
        </a:p>
      </xdr:txBody>
    </xdr:sp>
    <xdr:clientData/>
  </xdr:twoCellAnchor>
  <xdr:twoCellAnchor>
    <xdr:from>
      <xdr:col>17</xdr:col>
      <xdr:colOff>526255</xdr:colOff>
      <xdr:row>7</xdr:row>
      <xdr:rowOff>57150</xdr:rowOff>
    </xdr:from>
    <xdr:to>
      <xdr:col>19</xdr:col>
      <xdr:colOff>345281</xdr:colOff>
      <xdr:row>8</xdr:row>
      <xdr:rowOff>161925</xdr:rowOff>
    </xdr:to>
    <xdr:sp macro="" textlink="'Pivot Table'!C21">
      <xdr:nvSpPr>
        <xdr:cNvPr id="40" name="TextBox 39">
          <a:extLst>
            <a:ext uri="{FF2B5EF4-FFF2-40B4-BE49-F238E27FC236}">
              <a16:creationId xmlns:a16="http://schemas.microsoft.com/office/drawing/2014/main" id="{3D07B934-8A7F-4C60-9A74-1525CA8F3E12}"/>
            </a:ext>
            <a:ext uri="{147F2762-F138-4A5C-976F-8EAC2B608ADB}">
              <a16:predDERef xmlns:a16="http://schemas.microsoft.com/office/drawing/2014/main" pred="{5A7C3408-A436-7B61-B594-257D6A901540}"/>
            </a:ext>
          </a:extLst>
        </xdr:cNvPr>
        <xdr:cNvSpPr txBox="1"/>
      </xdr:nvSpPr>
      <xdr:spPr>
        <a:xfrm>
          <a:off x="10848974" y="1390650"/>
          <a:ext cx="1033463" cy="295275"/>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DCCE7A13-1163-4B48-98E9-FE3030374178}" type="TxLink">
            <a:rPr lang="en-US" sz="1800" b="1">
              <a:solidFill>
                <a:schemeClr val="bg2">
                  <a:lumMod val="25000"/>
                </a:schemeClr>
              </a:solidFill>
              <a:latin typeface="+mn-lt"/>
              <a:ea typeface="+mn-lt"/>
              <a:cs typeface="+mn-lt"/>
            </a:rPr>
            <a:pPr marL="0" indent="0" algn="ctr"/>
            <a:t>6</a:t>
          </a:fld>
          <a:endParaRPr lang="en-US" sz="1800" b="1">
            <a:solidFill>
              <a:schemeClr val="bg2">
                <a:lumMod val="25000"/>
              </a:schemeClr>
            </a:solidFill>
            <a:latin typeface="+mn-lt"/>
            <a:ea typeface="+mn-lt"/>
            <a:cs typeface="+mn-lt"/>
          </a:endParaRPr>
        </a:p>
      </xdr:txBody>
    </xdr:sp>
    <xdr:clientData/>
  </xdr:twoCellAnchor>
  <xdr:twoCellAnchor>
    <xdr:from>
      <xdr:col>8</xdr:col>
      <xdr:colOff>481853</xdr:colOff>
      <xdr:row>10</xdr:row>
      <xdr:rowOff>26148</xdr:rowOff>
    </xdr:from>
    <xdr:to>
      <xdr:col>13</xdr:col>
      <xdr:colOff>117316</xdr:colOff>
      <xdr:row>22</xdr:row>
      <xdr:rowOff>86591</xdr:rowOff>
    </xdr:to>
    <xdr:graphicFrame macro="">
      <xdr:nvGraphicFramePr>
        <xdr:cNvPr id="41" name="Chart 40">
          <a:extLst>
            <a:ext uri="{FF2B5EF4-FFF2-40B4-BE49-F238E27FC236}">
              <a16:creationId xmlns:a16="http://schemas.microsoft.com/office/drawing/2014/main" id="{32508EC7-DEA4-492B-80F2-A86434E62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11</xdr:col>
      <xdr:colOff>317502</xdr:colOff>
      <xdr:row>16</xdr:row>
      <xdr:rowOff>158749</xdr:rowOff>
    </xdr:from>
    <xdr:to>
      <xdr:col>12</xdr:col>
      <xdr:colOff>224118</xdr:colOff>
      <xdr:row>19</xdr:row>
      <xdr:rowOff>104392</xdr:rowOff>
    </xdr:to>
    <xdr:pic>
      <xdr:nvPicPr>
        <xdr:cNvPr id="18" name="Picture 17" descr="Female - Free people icons">
          <a:extLst>
            <a:ext uri="{FF2B5EF4-FFF2-40B4-BE49-F238E27FC236}">
              <a16:creationId xmlns:a16="http://schemas.microsoft.com/office/drawing/2014/main" id="{DE3127F1-5EDC-9F2D-129E-F1AD8F8F465D}"/>
            </a:ext>
          </a:extLst>
        </xdr:cNvPr>
        <xdr:cNvPicPr>
          <a:picLocks noChangeAspect="1" noChangeArrowheads="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colorTemperature colorTemp="112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a:off x="6994340" y="3146984"/>
          <a:ext cx="513602" cy="50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326839</xdr:colOff>
      <xdr:row>12</xdr:row>
      <xdr:rowOff>148994</xdr:rowOff>
    </xdr:from>
    <xdr:to>
      <xdr:col>12</xdr:col>
      <xdr:colOff>214779</xdr:colOff>
      <xdr:row>15</xdr:row>
      <xdr:rowOff>76240</xdr:rowOff>
    </xdr:to>
    <xdr:pic>
      <xdr:nvPicPr>
        <xdr:cNvPr id="42" name="Picture 41" descr="Male - Free people icons">
          <a:extLst>
            <a:ext uri="{FF2B5EF4-FFF2-40B4-BE49-F238E27FC236}">
              <a16:creationId xmlns:a16="http://schemas.microsoft.com/office/drawing/2014/main" id="{ED6FD0F9-B6ED-3649-55DD-57525BE731A5}"/>
            </a:ext>
          </a:extLst>
        </xdr:cNvPr>
        <xdr:cNvPicPr>
          <a:picLocks noChangeAspect="1" noChangeArrowheads="1"/>
        </xdr:cNvPicPr>
      </xdr:nvPicPr>
      <xdr:blipFill>
        <a:blip xmlns:r="http://schemas.openxmlformats.org/officeDocument/2006/relationships" r:embed="rId16" cstate="print">
          <a:extLst>
            <a:ext uri="{BEBA8EAE-BF5A-486C-A8C5-ECC9F3942E4B}">
              <a14:imgProps xmlns:a14="http://schemas.microsoft.com/office/drawing/2010/main">
                <a14:imgLayer r:embed="rId17">
                  <a14:imgEffect>
                    <a14:colorTemperature colorTemp="53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a:off x="7003677" y="2390170"/>
          <a:ext cx="494926" cy="487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91281</xdr:colOff>
      <xdr:row>14</xdr:row>
      <xdr:rowOff>56029</xdr:rowOff>
    </xdr:from>
    <xdr:to>
      <xdr:col>13</xdr:col>
      <xdr:colOff>37353</xdr:colOff>
      <xdr:row>15</xdr:row>
      <xdr:rowOff>121770</xdr:rowOff>
    </xdr:to>
    <xdr:sp macro="" textlink="">
      <xdr:nvSpPr>
        <xdr:cNvPr id="43" name="TextBox 42">
          <a:extLst>
            <a:ext uri="{FF2B5EF4-FFF2-40B4-BE49-F238E27FC236}">
              <a16:creationId xmlns:a16="http://schemas.microsoft.com/office/drawing/2014/main" id="{A6F22EBF-E5E7-44DF-A521-FF9327A4CD7E}"/>
            </a:ext>
            <a:ext uri="{147F2762-F138-4A5C-976F-8EAC2B608ADB}">
              <a16:predDERef xmlns:a16="http://schemas.microsoft.com/office/drawing/2014/main" pred="{5A7C3408-A436-7B61-B594-257D6A901540}"/>
            </a:ext>
          </a:extLst>
        </xdr:cNvPr>
        <xdr:cNvSpPr txBox="1"/>
      </xdr:nvSpPr>
      <xdr:spPr>
        <a:xfrm>
          <a:off x="7375105" y="2670735"/>
          <a:ext cx="553057"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Male</a:t>
          </a:r>
          <a:endParaRPr lang="en-US" sz="14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18677</xdr:colOff>
      <xdr:row>18</xdr:row>
      <xdr:rowOff>96370</xdr:rowOff>
    </xdr:from>
    <xdr:to>
      <xdr:col>13</xdr:col>
      <xdr:colOff>124386</xdr:colOff>
      <xdr:row>19</xdr:row>
      <xdr:rowOff>162112</xdr:rowOff>
    </xdr:to>
    <xdr:sp macro="" textlink="">
      <xdr:nvSpPr>
        <xdr:cNvPr id="44" name="TextBox 43">
          <a:extLst>
            <a:ext uri="{FF2B5EF4-FFF2-40B4-BE49-F238E27FC236}">
              <a16:creationId xmlns:a16="http://schemas.microsoft.com/office/drawing/2014/main" id="{3F135F96-859B-45E9-9DE7-2CF7D9361913}"/>
            </a:ext>
            <a:ext uri="{147F2762-F138-4A5C-976F-8EAC2B608ADB}">
              <a16:predDERef xmlns:a16="http://schemas.microsoft.com/office/drawing/2014/main" pred="{5A7C3408-A436-7B61-B594-257D6A901540}"/>
            </a:ext>
          </a:extLst>
        </xdr:cNvPr>
        <xdr:cNvSpPr txBox="1"/>
      </xdr:nvSpPr>
      <xdr:spPr>
        <a:xfrm>
          <a:off x="7302501" y="3458135"/>
          <a:ext cx="712694"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Female</a:t>
          </a:r>
          <a:endParaRPr lang="en-US" sz="14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103607</xdr:colOff>
      <xdr:row>12</xdr:row>
      <xdr:rowOff>161738</xdr:rowOff>
    </xdr:from>
    <xdr:to>
      <xdr:col>13</xdr:col>
      <xdr:colOff>49679</xdr:colOff>
      <xdr:row>14</xdr:row>
      <xdr:rowOff>40714</xdr:rowOff>
    </xdr:to>
    <xdr:sp macro="" textlink="'Pivot Table'!L18">
      <xdr:nvSpPr>
        <xdr:cNvPr id="45" name="TextBox 44">
          <a:extLst>
            <a:ext uri="{FF2B5EF4-FFF2-40B4-BE49-F238E27FC236}">
              <a16:creationId xmlns:a16="http://schemas.microsoft.com/office/drawing/2014/main" id="{6B30563B-B202-421D-9FCB-81C2B20D26EC}"/>
            </a:ext>
            <a:ext uri="{147F2762-F138-4A5C-976F-8EAC2B608ADB}">
              <a16:predDERef xmlns:a16="http://schemas.microsoft.com/office/drawing/2014/main" pred="{5A7C3408-A436-7B61-B594-257D6A901540}"/>
            </a:ext>
          </a:extLst>
        </xdr:cNvPr>
        <xdr:cNvSpPr txBox="1"/>
      </xdr:nvSpPr>
      <xdr:spPr>
        <a:xfrm>
          <a:off x="7387431" y="2402914"/>
          <a:ext cx="553057"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AC320096-5CFE-4057-AA92-664CB7E25FE7}" type="TxLink">
            <a:rPr lang="en-US" sz="1100" b="1" i="0" u="none" strike="noStrike">
              <a:solidFill>
                <a:srgbClr val="00B0F0"/>
              </a:solidFill>
              <a:latin typeface="Aptos Narrow"/>
              <a:ea typeface="Calibri" panose="020F0502020204030204" pitchFamily="34" charset="0"/>
              <a:cs typeface="Calibri" panose="020F0502020204030204" pitchFamily="34" charset="0"/>
            </a:rPr>
            <a:pPr marL="0" indent="0" algn="ctr"/>
            <a:t>73</a:t>
          </a:fld>
          <a:endParaRPr lang="en-US" sz="1400" b="1">
            <a:solidFill>
              <a:srgbClr val="00B0F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106595</xdr:colOff>
      <xdr:row>17</xdr:row>
      <xdr:rowOff>33991</xdr:rowOff>
    </xdr:from>
    <xdr:to>
      <xdr:col>13</xdr:col>
      <xdr:colOff>52667</xdr:colOff>
      <xdr:row>18</xdr:row>
      <xdr:rowOff>99732</xdr:rowOff>
    </xdr:to>
    <xdr:sp macro="" textlink="'Pivot Table'!L17">
      <xdr:nvSpPr>
        <xdr:cNvPr id="46" name="TextBox 45">
          <a:extLst>
            <a:ext uri="{FF2B5EF4-FFF2-40B4-BE49-F238E27FC236}">
              <a16:creationId xmlns:a16="http://schemas.microsoft.com/office/drawing/2014/main" id="{C2F6BFC2-40B1-408E-BCEE-0BB868C0B9EC}"/>
            </a:ext>
            <a:ext uri="{147F2762-F138-4A5C-976F-8EAC2B608ADB}">
              <a16:predDERef xmlns:a16="http://schemas.microsoft.com/office/drawing/2014/main" pred="{5A7C3408-A436-7B61-B594-257D6A901540}"/>
            </a:ext>
          </a:extLst>
        </xdr:cNvPr>
        <xdr:cNvSpPr txBox="1"/>
      </xdr:nvSpPr>
      <xdr:spPr>
        <a:xfrm>
          <a:off x="7390419" y="3208991"/>
          <a:ext cx="553057"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54C2D2FB-BB17-4A93-B243-EFE75D3244BB}" type="TxLink">
            <a:rPr lang="en-US" sz="1100" b="1" i="0" u="none" strike="noStrike">
              <a:solidFill>
                <a:srgbClr val="F06687"/>
              </a:solidFill>
              <a:latin typeface="Aptos Narrow"/>
              <a:ea typeface="Calibri" panose="020F0502020204030204" pitchFamily="34" charset="0"/>
              <a:cs typeface="Calibri" panose="020F0502020204030204" pitchFamily="34" charset="0"/>
            </a:rPr>
            <a:pPr marL="0" indent="0" algn="ctr"/>
            <a:t>45</a:t>
          </a:fld>
          <a:endParaRPr lang="en-US" sz="1400" b="1">
            <a:solidFill>
              <a:srgbClr val="F0668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318386</xdr:colOff>
      <xdr:row>12</xdr:row>
      <xdr:rowOff>140073</xdr:rowOff>
    </xdr:from>
    <xdr:to>
      <xdr:col>19</xdr:col>
      <xdr:colOff>177425</xdr:colOff>
      <xdr:row>13</xdr:row>
      <xdr:rowOff>171449</xdr:rowOff>
    </xdr:to>
    <xdr:sp macro="" textlink="">
      <xdr:nvSpPr>
        <xdr:cNvPr id="47" name="TextBox 46">
          <a:extLst>
            <a:ext uri="{FF2B5EF4-FFF2-40B4-BE49-F238E27FC236}">
              <a16:creationId xmlns:a16="http://schemas.microsoft.com/office/drawing/2014/main" id="{40565B39-2DA8-4244-887C-749B55856CBE}"/>
            </a:ext>
            <a:ext uri="{147F2762-F138-4A5C-976F-8EAC2B608ADB}">
              <a16:predDERef xmlns:a16="http://schemas.microsoft.com/office/drawing/2014/main" pred="{5A7C3408-A436-7B61-B594-257D6A901540}"/>
            </a:ext>
          </a:extLst>
        </xdr:cNvPr>
        <xdr:cNvSpPr txBox="1"/>
      </xdr:nvSpPr>
      <xdr:spPr>
        <a:xfrm>
          <a:off x="10637136" y="2381249"/>
          <a:ext cx="1073010" cy="218141"/>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Contract</a:t>
          </a:r>
        </a:p>
      </xdr:txBody>
    </xdr:sp>
    <xdr:clientData/>
  </xdr:twoCellAnchor>
  <xdr:twoCellAnchor>
    <xdr:from>
      <xdr:col>17</xdr:col>
      <xdr:colOff>302699</xdr:colOff>
      <xdr:row>14</xdr:row>
      <xdr:rowOff>177426</xdr:rowOff>
    </xdr:from>
    <xdr:to>
      <xdr:col>19</xdr:col>
      <xdr:colOff>196103</xdr:colOff>
      <xdr:row>16</xdr:row>
      <xdr:rowOff>6349</xdr:rowOff>
    </xdr:to>
    <xdr:sp macro="" textlink="">
      <xdr:nvSpPr>
        <xdr:cNvPr id="48" name="TextBox 47">
          <a:extLst>
            <a:ext uri="{FF2B5EF4-FFF2-40B4-BE49-F238E27FC236}">
              <a16:creationId xmlns:a16="http://schemas.microsoft.com/office/drawing/2014/main" id="{837EFF04-E253-4548-BB6B-1E6C1354CEEE}"/>
            </a:ext>
            <a:ext uri="{147F2762-F138-4A5C-976F-8EAC2B608ADB}">
              <a16:predDERef xmlns:a16="http://schemas.microsoft.com/office/drawing/2014/main" pred="{5A7C3408-A436-7B61-B594-257D6A901540}"/>
            </a:ext>
          </a:extLst>
        </xdr:cNvPr>
        <xdr:cNvSpPr txBox="1"/>
      </xdr:nvSpPr>
      <xdr:spPr>
        <a:xfrm>
          <a:off x="10621449" y="2792132"/>
          <a:ext cx="1107375" cy="202452"/>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Management</a:t>
          </a:r>
        </a:p>
      </xdr:txBody>
    </xdr:sp>
    <xdr:clientData/>
  </xdr:twoCellAnchor>
  <xdr:twoCellAnchor>
    <xdr:from>
      <xdr:col>17</xdr:col>
      <xdr:colOff>389732</xdr:colOff>
      <xdr:row>17</xdr:row>
      <xdr:rowOff>0</xdr:rowOff>
    </xdr:from>
    <xdr:to>
      <xdr:col>19</xdr:col>
      <xdr:colOff>130735</xdr:colOff>
      <xdr:row>18</xdr:row>
      <xdr:rowOff>56028</xdr:rowOff>
    </xdr:to>
    <xdr:sp macro="" textlink="">
      <xdr:nvSpPr>
        <xdr:cNvPr id="49" name="TextBox 48">
          <a:extLst>
            <a:ext uri="{FF2B5EF4-FFF2-40B4-BE49-F238E27FC236}">
              <a16:creationId xmlns:a16="http://schemas.microsoft.com/office/drawing/2014/main" id="{413EB44A-BD6D-480C-A53A-0E0754A2ACCB}"/>
            </a:ext>
            <a:ext uri="{147F2762-F138-4A5C-976F-8EAC2B608ADB}">
              <a16:predDERef xmlns:a16="http://schemas.microsoft.com/office/drawing/2014/main" pred="{5A7C3408-A436-7B61-B594-257D6A901540}"/>
            </a:ext>
          </a:extLst>
        </xdr:cNvPr>
        <xdr:cNvSpPr txBox="1"/>
      </xdr:nvSpPr>
      <xdr:spPr>
        <a:xfrm>
          <a:off x="10708482" y="3175000"/>
          <a:ext cx="954974" cy="242793"/>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Trainees</a:t>
          </a:r>
        </a:p>
      </xdr:txBody>
    </xdr:sp>
    <xdr:clientData/>
  </xdr:twoCellAnchor>
  <xdr:twoCellAnchor>
    <xdr:from>
      <xdr:col>17</xdr:col>
      <xdr:colOff>346029</xdr:colOff>
      <xdr:row>19</xdr:row>
      <xdr:rowOff>46690</xdr:rowOff>
    </xdr:from>
    <xdr:to>
      <xdr:col>19</xdr:col>
      <xdr:colOff>168088</xdr:colOff>
      <xdr:row>20</xdr:row>
      <xdr:rowOff>59016</xdr:rowOff>
    </xdr:to>
    <xdr:sp macro="" textlink="">
      <xdr:nvSpPr>
        <xdr:cNvPr id="50" name="TextBox 49">
          <a:extLst>
            <a:ext uri="{FF2B5EF4-FFF2-40B4-BE49-F238E27FC236}">
              <a16:creationId xmlns:a16="http://schemas.microsoft.com/office/drawing/2014/main" id="{BBB01ADE-6D76-4D8F-8AF2-70344D66107B}"/>
            </a:ext>
            <a:ext uri="{147F2762-F138-4A5C-976F-8EAC2B608ADB}">
              <a16:predDERef xmlns:a16="http://schemas.microsoft.com/office/drawing/2014/main" pred="{5A7C3408-A436-7B61-B594-257D6A901540}"/>
            </a:ext>
          </a:extLst>
        </xdr:cNvPr>
        <xdr:cNvSpPr txBox="1"/>
      </xdr:nvSpPr>
      <xdr:spPr>
        <a:xfrm>
          <a:off x="10664779" y="3595219"/>
          <a:ext cx="1036030" cy="199091"/>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Professional</a:t>
          </a:r>
        </a:p>
      </xdr:txBody>
    </xdr:sp>
    <xdr:clientData/>
  </xdr:twoCellAnchor>
  <xdr:twoCellAnchor>
    <xdr:from>
      <xdr:col>17</xdr:col>
      <xdr:colOff>582845</xdr:colOff>
      <xdr:row>13</xdr:row>
      <xdr:rowOff>155388</xdr:rowOff>
    </xdr:from>
    <xdr:to>
      <xdr:col>18</xdr:col>
      <xdr:colOff>528917</xdr:colOff>
      <xdr:row>15</xdr:row>
      <xdr:rowOff>34364</xdr:rowOff>
    </xdr:to>
    <xdr:sp macro="" textlink="'Pivot Table'!P20">
      <xdr:nvSpPr>
        <xdr:cNvPr id="52" name="TextBox 51">
          <a:extLst>
            <a:ext uri="{FF2B5EF4-FFF2-40B4-BE49-F238E27FC236}">
              <a16:creationId xmlns:a16="http://schemas.microsoft.com/office/drawing/2014/main" id="{83CEAF31-6EC0-4B63-9CA0-C84A3D09C750}"/>
            </a:ext>
            <a:ext uri="{147F2762-F138-4A5C-976F-8EAC2B608ADB}">
              <a16:predDERef xmlns:a16="http://schemas.microsoft.com/office/drawing/2014/main" pred="{5A7C3408-A436-7B61-B594-257D6A901540}"/>
            </a:ext>
          </a:extLst>
        </xdr:cNvPr>
        <xdr:cNvSpPr txBox="1"/>
      </xdr:nvSpPr>
      <xdr:spPr>
        <a:xfrm>
          <a:off x="10901595" y="2583329"/>
          <a:ext cx="553057"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AAF62237-5265-474D-A38B-C491EB11D0F5}" type="TxLink">
            <a:rPr lang="en-US" sz="1100" b="1" i="0" u="none" strike="noStrike">
              <a:solidFill>
                <a:schemeClr val="tx2">
                  <a:lumMod val="50000"/>
                  <a:lumOff val="50000"/>
                </a:schemeClr>
              </a:solidFill>
              <a:latin typeface="Aptos Narrow"/>
              <a:ea typeface="Calibri" panose="020F0502020204030204" pitchFamily="34" charset="0"/>
              <a:cs typeface="Calibri" panose="020F0502020204030204" pitchFamily="34" charset="0"/>
            </a:rPr>
            <a:pPr marL="0" indent="0" algn="ctr"/>
            <a:t>13</a:t>
          </a:fld>
          <a:endParaRPr lang="en-US" sz="14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595171</xdr:colOff>
      <xdr:row>15</xdr:row>
      <xdr:rowOff>186391</xdr:rowOff>
    </xdr:from>
    <xdr:to>
      <xdr:col>18</xdr:col>
      <xdr:colOff>541243</xdr:colOff>
      <xdr:row>17</xdr:row>
      <xdr:rowOff>65368</xdr:rowOff>
    </xdr:to>
    <xdr:sp macro="" textlink="'Pivot Table'!P19">
      <xdr:nvSpPr>
        <xdr:cNvPr id="53" name="TextBox 52">
          <a:extLst>
            <a:ext uri="{FF2B5EF4-FFF2-40B4-BE49-F238E27FC236}">
              <a16:creationId xmlns:a16="http://schemas.microsoft.com/office/drawing/2014/main" id="{B45FC123-9AE6-41A6-8EFF-1F0F70936AAB}"/>
            </a:ext>
            <a:ext uri="{147F2762-F138-4A5C-976F-8EAC2B608ADB}">
              <a16:predDERef xmlns:a16="http://schemas.microsoft.com/office/drawing/2014/main" pred="{5A7C3408-A436-7B61-B594-257D6A901540}"/>
            </a:ext>
          </a:extLst>
        </xdr:cNvPr>
        <xdr:cNvSpPr txBox="1"/>
      </xdr:nvSpPr>
      <xdr:spPr>
        <a:xfrm>
          <a:off x="10913921" y="2987862"/>
          <a:ext cx="553057"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6A05D36A-D2E9-41BC-BE40-368C7CE7A098}" type="TxLink">
            <a:rPr lang="en-US" sz="1100" b="1" i="0" u="none" strike="noStrike">
              <a:solidFill>
                <a:srgbClr val="F06687"/>
              </a:solidFill>
              <a:latin typeface="Aptos Narrow"/>
              <a:ea typeface="Calibri" panose="020F0502020204030204" pitchFamily="34" charset="0"/>
              <a:cs typeface="Calibri" panose="020F0502020204030204" pitchFamily="34" charset="0"/>
            </a:rPr>
            <a:pPr marL="0" indent="0" algn="ctr"/>
            <a:t>21</a:t>
          </a:fld>
          <a:endParaRPr lang="en-US" sz="1400" b="1">
            <a:solidFill>
              <a:srgbClr val="F0668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588821</xdr:colOff>
      <xdr:row>18</xdr:row>
      <xdr:rowOff>11953</xdr:rowOff>
    </xdr:from>
    <xdr:to>
      <xdr:col>18</xdr:col>
      <xdr:colOff>534893</xdr:colOff>
      <xdr:row>19</xdr:row>
      <xdr:rowOff>77695</xdr:rowOff>
    </xdr:to>
    <xdr:sp macro="" textlink="">
      <xdr:nvSpPr>
        <xdr:cNvPr id="54" name="TextBox 53">
          <a:extLst>
            <a:ext uri="{FF2B5EF4-FFF2-40B4-BE49-F238E27FC236}">
              <a16:creationId xmlns:a16="http://schemas.microsoft.com/office/drawing/2014/main" id="{46B14752-A7BB-4925-B05A-A16877183E4E}"/>
            </a:ext>
            <a:ext uri="{147F2762-F138-4A5C-976F-8EAC2B608ADB}">
              <a16:predDERef xmlns:a16="http://schemas.microsoft.com/office/drawing/2014/main" pred="{5A7C3408-A436-7B61-B594-257D6A901540}"/>
            </a:ext>
          </a:extLst>
        </xdr:cNvPr>
        <xdr:cNvSpPr txBox="1"/>
      </xdr:nvSpPr>
      <xdr:spPr>
        <a:xfrm>
          <a:off x="10907571" y="3373718"/>
          <a:ext cx="553057"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b="1">
              <a:solidFill>
                <a:srgbClr val="92D050"/>
              </a:solidFill>
              <a:ea typeface="Calibri" panose="020F0502020204030204" pitchFamily="34" charset="0"/>
              <a:cs typeface="Calibri" panose="020F0502020204030204" pitchFamily="34" charset="0"/>
            </a:rPr>
            <a:t>41</a:t>
          </a:r>
        </a:p>
      </xdr:txBody>
    </xdr:sp>
    <xdr:clientData/>
  </xdr:twoCellAnchor>
  <xdr:twoCellAnchor>
    <xdr:from>
      <xdr:col>17</xdr:col>
      <xdr:colOff>601148</xdr:colOff>
      <xdr:row>20</xdr:row>
      <xdr:rowOff>52294</xdr:rowOff>
    </xdr:from>
    <xdr:to>
      <xdr:col>18</xdr:col>
      <xdr:colOff>547220</xdr:colOff>
      <xdr:row>21</xdr:row>
      <xdr:rowOff>118035</xdr:rowOff>
    </xdr:to>
    <xdr:sp macro="" textlink="'Pivot Table'!P17">
      <xdr:nvSpPr>
        <xdr:cNvPr id="55" name="TextBox 54">
          <a:extLst>
            <a:ext uri="{FF2B5EF4-FFF2-40B4-BE49-F238E27FC236}">
              <a16:creationId xmlns:a16="http://schemas.microsoft.com/office/drawing/2014/main" id="{615F7C97-D38D-496C-A0C5-3741EE240A64}"/>
            </a:ext>
            <a:ext uri="{147F2762-F138-4A5C-976F-8EAC2B608ADB}">
              <a16:predDERef xmlns:a16="http://schemas.microsoft.com/office/drawing/2014/main" pred="{5A7C3408-A436-7B61-B594-257D6A901540}"/>
            </a:ext>
          </a:extLst>
        </xdr:cNvPr>
        <xdr:cNvSpPr txBox="1"/>
      </xdr:nvSpPr>
      <xdr:spPr>
        <a:xfrm>
          <a:off x="10919898" y="3787588"/>
          <a:ext cx="553057" cy="252506"/>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9ED60A93-5D58-4E19-A06E-C95091945E8E}" type="TxLink">
            <a:rPr lang="en-US" sz="1100" b="1" i="0" u="none" strike="noStrike">
              <a:solidFill>
                <a:srgbClr val="00B0F0"/>
              </a:solidFill>
              <a:latin typeface="Aptos Narrow"/>
              <a:ea typeface="Calibri" panose="020F0502020204030204" pitchFamily="34" charset="0"/>
              <a:cs typeface="Calibri" panose="020F0502020204030204" pitchFamily="34" charset="0"/>
            </a:rPr>
            <a:pPr marL="0" indent="0" algn="ctr"/>
            <a:t>43</a:t>
          </a:fld>
          <a:endParaRPr lang="en-US" sz="1100" b="1" i="0" u="none" strike="noStrike">
            <a:solidFill>
              <a:srgbClr val="00B0F0"/>
            </a:solidFill>
            <a:latin typeface="Aptos Narrow"/>
            <a:ea typeface="Calibri" panose="020F0502020204030204" pitchFamily="34" charset="0"/>
            <a:cs typeface="Calibri" panose="020F0502020204030204" pitchFamily="34" charset="0"/>
          </a:endParaRPr>
        </a:p>
      </xdr:txBody>
    </xdr:sp>
    <xdr:clientData/>
  </xdr:twoCellAnchor>
  <xdr:twoCellAnchor editAs="oneCell">
    <xdr:from>
      <xdr:col>13</xdr:col>
      <xdr:colOff>225425</xdr:colOff>
      <xdr:row>26</xdr:row>
      <xdr:rowOff>30957</xdr:rowOff>
    </xdr:from>
    <xdr:to>
      <xdr:col>14</xdr:col>
      <xdr:colOff>197949</xdr:colOff>
      <xdr:row>28</xdr:row>
      <xdr:rowOff>39689</xdr:rowOff>
    </xdr:to>
    <xdr:pic>
      <xdr:nvPicPr>
        <xdr:cNvPr id="57" name="Picture 56" descr="Person Icon Vector Png - Vector Person Icon Blue,Free Person Icon - free  transparent png images - pngaaa.com">
          <a:extLst>
            <a:ext uri="{FF2B5EF4-FFF2-40B4-BE49-F238E27FC236}">
              <a16:creationId xmlns:a16="http://schemas.microsoft.com/office/drawing/2014/main" id="{A367B7A7-50B7-C472-1BA5-0F2847B7C7BC}"/>
            </a:ext>
          </a:extLst>
        </xdr:cNvPr>
        <xdr:cNvPicPr>
          <a:picLocks noChangeAspect="1" noChangeArrowheads="1"/>
        </xdr:cNvPicPr>
      </xdr:nvPicPr>
      <xdr:blipFill>
        <a:blip xmlns:r="http://schemas.openxmlformats.org/officeDocument/2006/relationships" r:embed="rId18" cstate="print">
          <a:extLst>
            <a:ext uri="{BEBA8EAE-BF5A-486C-A8C5-ECC9F3942E4B}">
              <a14:imgProps xmlns:a14="http://schemas.microsoft.com/office/drawing/2010/main">
                <a14:imgLayer r:embed="rId19">
                  <a14:imgEffect>
                    <a14:backgroundRemoval t="9251" b="89868" l="10000" r="90000">
                      <a14:foregroundMark x1="38235" y1="73128" x2="38235" y2="73128"/>
                      <a14:foregroundMark x1="48235" y1="16740" x2="48235" y2="16740"/>
                      <a14:foregroundMark x1="50588" y1="9251" x2="50588" y2="9251"/>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a:off x="8170863" y="4983957"/>
          <a:ext cx="583711" cy="3897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263005</xdr:colOff>
      <xdr:row>30</xdr:row>
      <xdr:rowOff>87317</xdr:rowOff>
    </xdr:from>
    <xdr:to>
      <xdr:col>14</xdr:col>
      <xdr:colOff>163489</xdr:colOff>
      <xdr:row>32</xdr:row>
      <xdr:rowOff>53557</xdr:rowOff>
    </xdr:to>
    <xdr:pic>
      <xdr:nvPicPr>
        <xdr:cNvPr id="61" name="Picture 60">
          <a:extLst>
            <a:ext uri="{FF2B5EF4-FFF2-40B4-BE49-F238E27FC236}">
              <a16:creationId xmlns:a16="http://schemas.microsoft.com/office/drawing/2014/main" id="{6A310F15-4CEF-6966-27EF-1A5DF8F93042}"/>
            </a:ext>
          </a:extLst>
        </xdr:cNvPr>
        <xdr:cNvPicPr>
          <a:picLocks noChangeAspect="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8209983" y="5844966"/>
          <a:ext cx="511790" cy="350084"/>
        </a:xfrm>
        <a:prstGeom prst="rect">
          <a:avLst/>
        </a:prstGeom>
      </xdr:spPr>
    </xdr:pic>
    <xdr:clientData/>
  </xdr:twoCellAnchor>
  <xdr:twoCellAnchor>
    <xdr:from>
      <xdr:col>13</xdr:col>
      <xdr:colOff>605886</xdr:colOff>
      <xdr:row>26</xdr:row>
      <xdr:rowOff>91319</xdr:rowOff>
    </xdr:from>
    <xdr:to>
      <xdr:col>14</xdr:col>
      <xdr:colOff>551958</xdr:colOff>
      <xdr:row>27</xdr:row>
      <xdr:rowOff>157060</xdr:rowOff>
    </xdr:to>
    <xdr:sp macro="" textlink="'Pivot Table'!AA18">
      <xdr:nvSpPr>
        <xdr:cNvPr id="63" name="TextBox 62">
          <a:extLst>
            <a:ext uri="{FF2B5EF4-FFF2-40B4-BE49-F238E27FC236}">
              <a16:creationId xmlns:a16="http://schemas.microsoft.com/office/drawing/2014/main" id="{22268688-A0FF-4546-8F00-D559B8362F20}"/>
            </a:ext>
            <a:ext uri="{147F2762-F138-4A5C-976F-8EAC2B608ADB}">
              <a16:predDERef xmlns:a16="http://schemas.microsoft.com/office/drawing/2014/main" pred="{5A7C3408-A436-7B61-B594-257D6A901540}"/>
            </a:ext>
          </a:extLst>
        </xdr:cNvPr>
        <xdr:cNvSpPr txBox="1"/>
      </xdr:nvSpPr>
      <xdr:spPr>
        <a:xfrm>
          <a:off x="8552864" y="5081282"/>
          <a:ext cx="557378" cy="257662"/>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47BF249A-A72C-4B30-BC62-0A69573F7B75}" type="TxLink">
            <a:rPr lang="en-US" sz="1100" b="1" i="0" u="none" strike="noStrike">
              <a:solidFill>
                <a:srgbClr val="00B0F0"/>
              </a:solidFill>
              <a:latin typeface="Aptos Narrow"/>
              <a:ea typeface="Calibri" panose="020F0502020204030204" pitchFamily="34" charset="0"/>
              <a:cs typeface="Calibri" panose="020F0502020204030204" pitchFamily="34" charset="0"/>
            </a:rPr>
            <a:pPr marL="0" indent="0" algn="ctr"/>
            <a:t>105</a:t>
          </a:fld>
          <a:endParaRPr lang="en-US" sz="1100" b="1" i="0" u="none" strike="noStrike">
            <a:solidFill>
              <a:srgbClr val="00B0F0"/>
            </a:solidFill>
            <a:latin typeface="Aptos Narrow"/>
            <a:ea typeface="Calibri" panose="020F0502020204030204" pitchFamily="34" charset="0"/>
            <a:cs typeface="Calibri" panose="020F0502020204030204" pitchFamily="34" charset="0"/>
          </a:endParaRPr>
        </a:p>
      </xdr:txBody>
    </xdr:sp>
    <xdr:clientData/>
  </xdr:twoCellAnchor>
  <xdr:twoCellAnchor>
    <xdr:from>
      <xdr:col>13</xdr:col>
      <xdr:colOff>592800</xdr:colOff>
      <xdr:row>30</xdr:row>
      <xdr:rowOff>109037</xdr:rowOff>
    </xdr:from>
    <xdr:to>
      <xdr:col>14</xdr:col>
      <xdr:colOff>538872</xdr:colOff>
      <xdr:row>31</xdr:row>
      <xdr:rowOff>179935</xdr:rowOff>
    </xdr:to>
    <xdr:sp macro="" textlink="'Pivot Table'!AA17">
      <xdr:nvSpPr>
        <xdr:cNvPr id="1024" name="TextBox 1023">
          <a:extLst>
            <a:ext uri="{FF2B5EF4-FFF2-40B4-BE49-F238E27FC236}">
              <a16:creationId xmlns:a16="http://schemas.microsoft.com/office/drawing/2014/main" id="{73AEB29D-04C2-40C6-BE2D-9D2068FB805C}"/>
            </a:ext>
            <a:ext uri="{147F2762-F138-4A5C-976F-8EAC2B608ADB}">
              <a16:predDERef xmlns:a16="http://schemas.microsoft.com/office/drawing/2014/main" pred="{5A7C3408-A436-7B61-B594-257D6A901540}"/>
            </a:ext>
          </a:extLst>
        </xdr:cNvPr>
        <xdr:cNvSpPr txBox="1"/>
      </xdr:nvSpPr>
      <xdr:spPr>
        <a:xfrm>
          <a:off x="8539778" y="5866686"/>
          <a:ext cx="557378" cy="262820"/>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fld id="{BFD16A59-8106-4D01-9CC0-D41D4D50876F}" type="TxLink">
            <a:rPr lang="en-US" sz="1100" b="1" i="0" u="none" strike="noStrike">
              <a:solidFill>
                <a:srgbClr val="F06687"/>
              </a:solidFill>
              <a:latin typeface="Aptos Narrow"/>
              <a:ea typeface="Calibri" panose="020F0502020204030204" pitchFamily="34" charset="0"/>
              <a:cs typeface="Calibri" panose="020F0502020204030204" pitchFamily="34" charset="0"/>
            </a:rPr>
            <a:pPr marL="0" indent="0" algn="ctr"/>
            <a:t>13</a:t>
          </a:fld>
          <a:endParaRPr lang="en-US" sz="1100" b="1" i="0" u="none" strike="noStrike">
            <a:solidFill>
              <a:srgbClr val="F06687"/>
            </a:solidFill>
            <a:latin typeface="Aptos Narrow"/>
            <a:ea typeface="Calibri" panose="020F0502020204030204" pitchFamily="34" charset="0"/>
            <a:cs typeface="Calibri" panose="020F0502020204030204" pitchFamily="34" charset="0"/>
          </a:endParaRPr>
        </a:p>
      </xdr:txBody>
    </xdr:sp>
    <xdr:clientData/>
  </xdr:twoCellAnchor>
  <xdr:twoCellAnchor>
    <xdr:from>
      <xdr:col>13</xdr:col>
      <xdr:colOff>237036</xdr:colOff>
      <xdr:row>28</xdr:row>
      <xdr:rowOff>62439</xdr:rowOff>
    </xdr:from>
    <xdr:to>
      <xdr:col>15</xdr:col>
      <xdr:colOff>59095</xdr:colOff>
      <xdr:row>29</xdr:row>
      <xdr:rowOff>74765</xdr:rowOff>
    </xdr:to>
    <xdr:sp macro="" textlink="">
      <xdr:nvSpPr>
        <xdr:cNvPr id="1027" name="TextBox 1026">
          <a:extLst>
            <a:ext uri="{FF2B5EF4-FFF2-40B4-BE49-F238E27FC236}">
              <a16:creationId xmlns:a16="http://schemas.microsoft.com/office/drawing/2014/main" id="{47AA8EA4-D0C4-4679-BFB1-D5FC76C00458}"/>
            </a:ext>
            <a:ext uri="{147F2762-F138-4A5C-976F-8EAC2B608ADB}">
              <a16:predDERef xmlns:a16="http://schemas.microsoft.com/office/drawing/2014/main" pred="{5A7C3408-A436-7B61-B594-257D6A901540}"/>
            </a:ext>
          </a:extLst>
        </xdr:cNvPr>
        <xdr:cNvSpPr txBox="1"/>
      </xdr:nvSpPr>
      <xdr:spPr>
        <a:xfrm>
          <a:off x="8184014" y="5436245"/>
          <a:ext cx="1044671" cy="204248"/>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Permanent</a:t>
          </a:r>
        </a:p>
      </xdr:txBody>
    </xdr:sp>
    <xdr:clientData/>
  </xdr:twoCellAnchor>
  <xdr:twoCellAnchor>
    <xdr:from>
      <xdr:col>13</xdr:col>
      <xdr:colOff>233055</xdr:colOff>
      <xdr:row>32</xdr:row>
      <xdr:rowOff>86890</xdr:rowOff>
    </xdr:from>
    <xdr:to>
      <xdr:col>15</xdr:col>
      <xdr:colOff>55114</xdr:colOff>
      <xdr:row>33</xdr:row>
      <xdr:rowOff>99217</xdr:rowOff>
    </xdr:to>
    <xdr:sp macro="" textlink="">
      <xdr:nvSpPr>
        <xdr:cNvPr id="1028" name="TextBox 1027">
          <a:extLst>
            <a:ext uri="{FF2B5EF4-FFF2-40B4-BE49-F238E27FC236}">
              <a16:creationId xmlns:a16="http://schemas.microsoft.com/office/drawing/2014/main" id="{D24722E7-4472-41FD-8852-CAD4B21A5E9A}"/>
            </a:ext>
            <a:ext uri="{147F2762-F138-4A5C-976F-8EAC2B608ADB}">
              <a16:predDERef xmlns:a16="http://schemas.microsoft.com/office/drawing/2014/main" pred="{5A7C3408-A436-7B61-B594-257D6A901540}"/>
            </a:ext>
          </a:extLst>
        </xdr:cNvPr>
        <xdr:cNvSpPr txBox="1"/>
      </xdr:nvSpPr>
      <xdr:spPr>
        <a:xfrm>
          <a:off x="8180033" y="6228383"/>
          <a:ext cx="1044671" cy="204248"/>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1200" b="0">
              <a:solidFill>
                <a:schemeClr val="bg2">
                  <a:lumMod val="25000"/>
                </a:schemeClr>
              </a:solidFill>
              <a:latin typeface="Calibri" panose="020F0502020204030204" pitchFamily="34" charset="0"/>
              <a:ea typeface="Calibri" panose="020F0502020204030204" pitchFamily="34" charset="0"/>
              <a:cs typeface="Calibri" panose="020F0502020204030204" pitchFamily="34" charset="0"/>
            </a:rPr>
            <a:t>Contract</a:t>
          </a:r>
        </a:p>
      </xdr:txBody>
    </xdr:sp>
    <xdr:clientData/>
  </xdr:twoCellAnchor>
  <xdr:twoCellAnchor editAs="oneCell">
    <xdr:from>
      <xdr:col>0</xdr:col>
      <xdr:colOff>123824</xdr:colOff>
      <xdr:row>18</xdr:row>
      <xdr:rowOff>76200</xdr:rowOff>
    </xdr:from>
    <xdr:to>
      <xdr:col>2</xdr:col>
      <xdr:colOff>104775</xdr:colOff>
      <xdr:row>31</xdr:row>
      <xdr:rowOff>0</xdr:rowOff>
    </xdr:to>
    <mc:AlternateContent xmlns:mc="http://schemas.openxmlformats.org/markup-compatibility/2006" xmlns:a14="http://schemas.microsoft.com/office/drawing/2010/main">
      <mc:Choice Requires="a14">
        <xdr:graphicFrame macro="">
          <xdr:nvGraphicFramePr>
            <xdr:cNvPr id="1029" name="Reporting Manager">
              <a:extLst>
                <a:ext uri="{FF2B5EF4-FFF2-40B4-BE49-F238E27FC236}">
                  <a16:creationId xmlns:a16="http://schemas.microsoft.com/office/drawing/2014/main" id="{B9B343FA-7D5E-46BC-88AF-343FD88C5711}"/>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123824" y="3505200"/>
              <a:ext cx="1200151" cy="2400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5</xdr:row>
      <xdr:rowOff>76200</xdr:rowOff>
    </xdr:from>
    <xdr:to>
      <xdr:col>2</xdr:col>
      <xdr:colOff>104775</xdr:colOff>
      <xdr:row>17</xdr:row>
      <xdr:rowOff>180975</xdr:rowOff>
    </xdr:to>
    <mc:AlternateContent xmlns:mc="http://schemas.openxmlformats.org/markup-compatibility/2006" xmlns:a14="http://schemas.microsoft.com/office/drawing/2010/main">
      <mc:Choice Requires="a14">
        <xdr:graphicFrame macro="">
          <xdr:nvGraphicFramePr>
            <xdr:cNvPr id="1032" name="Department">
              <a:extLst>
                <a:ext uri="{FF2B5EF4-FFF2-40B4-BE49-F238E27FC236}">
                  <a16:creationId xmlns:a16="http://schemas.microsoft.com/office/drawing/2014/main" id="{B640F719-659E-4249-8709-09B407AEE95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4300" y="1028700"/>
              <a:ext cx="1209675" cy="2390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542926</xdr:colOff>
      <xdr:row>0</xdr:row>
      <xdr:rowOff>161924</xdr:rowOff>
    </xdr:from>
    <xdr:to>
      <xdr:col>18</xdr:col>
      <xdr:colOff>66676</xdr:colOff>
      <xdr:row>4</xdr:row>
      <xdr:rowOff>142874</xdr:rowOff>
    </xdr:to>
    <xdr:pic macro="[0]!Refresh_All">
      <xdr:nvPicPr>
        <xdr:cNvPr id="1034" name="Graphic 1033" descr="Repeat with solid fill">
          <a:extLst>
            <a:ext uri="{FF2B5EF4-FFF2-40B4-BE49-F238E27FC236}">
              <a16:creationId xmlns:a16="http://schemas.microsoft.com/office/drawing/2014/main" id="{4EF944C1-1AD6-4318-3777-EE15FAD6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296526" y="161924"/>
          <a:ext cx="742950" cy="742950"/>
        </a:xfrm>
        <a:prstGeom prst="rect">
          <a:avLst/>
        </a:prstGeom>
      </xdr:spPr>
    </xdr:pic>
    <xdr:clientData/>
  </xdr:twoCellAnchor>
  <xdr:twoCellAnchor editAs="oneCell">
    <xdr:from>
      <xdr:col>18</xdr:col>
      <xdr:colOff>228600</xdr:colOff>
      <xdr:row>0</xdr:row>
      <xdr:rowOff>142875</xdr:rowOff>
    </xdr:from>
    <xdr:to>
      <xdr:col>19</xdr:col>
      <xdr:colOff>390525</xdr:colOff>
      <xdr:row>4</xdr:row>
      <xdr:rowOff>152400</xdr:rowOff>
    </xdr:to>
    <xdr:pic macro="[0]!Swtchprg">
      <xdr:nvPicPr>
        <xdr:cNvPr id="1036" name="Graphic 1035" descr="Monitor with solid fill">
          <a:extLst>
            <a:ext uri="{FF2B5EF4-FFF2-40B4-BE49-F238E27FC236}">
              <a16:creationId xmlns:a16="http://schemas.microsoft.com/office/drawing/2014/main" id="{A9F97410-5564-0284-9741-68360A50903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201400" y="142875"/>
          <a:ext cx="771525" cy="771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95250</xdr:colOff>
      <xdr:row>0</xdr:row>
      <xdr:rowOff>-47625</xdr:rowOff>
    </xdr:from>
    <xdr:to>
      <xdr:col>2</xdr:col>
      <xdr:colOff>95250</xdr:colOff>
      <xdr:row>0</xdr:row>
      <xdr:rowOff>-47625</xdr:rowOff>
    </xdr:to>
    <xdr:graphicFrame macro="">
      <xdr:nvGraphicFramePr>
        <xdr:cNvPr id="2" name="Chart 1">
          <a:extLst>
            <a:ext uri="{FF2B5EF4-FFF2-40B4-BE49-F238E27FC236}">
              <a16:creationId xmlns:a16="http://schemas.microsoft.com/office/drawing/2014/main" id="{D376C072-D220-6227-62C1-53930646E0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-1762125</xdr:colOff>
      <xdr:row>0</xdr:row>
      <xdr:rowOff>28575</xdr:rowOff>
    </xdr:from>
    <xdr:to>
      <xdr:col>0</xdr:col>
      <xdr:colOff>-1762125</xdr:colOff>
      <xdr:row>0</xdr:row>
      <xdr:rowOff>28575</xdr:rowOff>
    </xdr:to>
    <xdr:graphicFrame macro="">
      <xdr:nvGraphicFramePr>
        <xdr:cNvPr id="6" name="Chart 5">
          <a:extLst>
            <a:ext uri="{FF2B5EF4-FFF2-40B4-BE49-F238E27FC236}">
              <a16:creationId xmlns:a16="http://schemas.microsoft.com/office/drawing/2014/main" id="{323CA670-B8CB-8725-2B69-EBBCEBD6DD26}"/>
            </a:ext>
            <a:ext uri="{147F2762-F138-4A5C-976F-8EAC2B608ADB}">
              <a16:predDERef xmlns:a16="http://schemas.microsoft.com/office/drawing/2014/main" pred="{D376C072-D220-6227-62C1-53930646E0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nan ansari" refreshedDate="46309.731319791666" createdVersion="8" refreshedVersion="8" minRefreshableVersion="3" recordCount="171" xr:uid="{DB562E09-E4EB-4F88-9D47-6DBBDC6B7407}">
  <cacheSource type="worksheet">
    <worksheetSource name="Table2"/>
  </cacheSource>
  <cacheFields count="16">
    <cacheField name="Emp Status" numFmtId="0">
      <sharedItems count="3">
        <s v="On-Board"/>
        <s v="Attrition"/>
        <s v="Transfer"/>
      </sharedItems>
    </cacheField>
    <cacheField name="Movement" numFmtId="0">
      <sharedItems containsBlank="1"/>
    </cacheField>
    <cacheField name="Emp Id" numFmtId="0">
      <sharedItems containsMixedTypes="1" containsNumber="1" containsInteger="1" minValue="100957" maxValue="198396"/>
    </cacheField>
    <cacheField name="Name" numFmtId="0">
      <sharedItems/>
    </cacheField>
    <cacheField name="Date of Joining" numFmtId="164">
      <sharedItems containsSemiMixedTypes="0" containsNonDate="0" containsDate="1" containsString="0" minDate="2020-02-06T00:00:00" maxDate="2025-07-20T00:00:00"/>
    </cacheField>
    <cacheField name="Data of Relieving" numFmtId="164">
      <sharedItems containsNonDate="0" containsDate="1" containsString="0" containsBlank="1" minDate="2020-12-18T00:00:00" maxDate="2024-09-30T00:00:00"/>
    </cacheField>
    <cacheField name="Reporting Manager" numFmtId="0">
      <sharedItems count="7">
        <s v="Roberta Moyer"/>
        <s v="Ryan Simmons"/>
        <s v="Darryl Leon"/>
        <s v="Geneva Hardy"/>
        <s v="Janelle Wiley"/>
        <s v="Alejandra Mack"/>
        <s v="Jefferson Perry"/>
      </sharedItems>
    </cacheField>
    <cacheField name="Emp Type" numFmtId="0">
      <sharedItems count="2">
        <s v="Contract"/>
        <s v="Permanent"/>
      </sharedItems>
    </cacheField>
    <cacheField name="Category" numFmtId="0">
      <sharedItems count="2">
        <s v="Male"/>
        <s v="Female"/>
      </sharedItems>
    </cacheField>
    <cacheField name="Date of Birth" numFmtId="165">
      <sharedItems containsSemiMixedTypes="0" containsNonDate="0" containsDate="1" containsString="0" minDate="1982-01-03T00:00:00" maxDate="2023-08-07T00:00:00"/>
    </cacheField>
    <cacheField name="Marital status" numFmtId="165">
      <sharedItems/>
    </cacheField>
    <cacheField name="Grade" numFmtId="0">
      <sharedItems count="4">
        <s v="Contract"/>
        <s v="Trainees"/>
        <s v="Management"/>
        <s v="Professional"/>
      </sharedItems>
    </cacheField>
    <cacheField name="Department" numFmtId="0">
      <sharedItems count="7">
        <s v="Operations"/>
        <s v="Accounting"/>
        <s v="Legal"/>
        <s v="Marketing"/>
        <s v="Finance"/>
        <s v="HR"/>
        <s v="Sales"/>
      </sharedItems>
    </cacheField>
    <cacheField name="Total Experience" numFmtId="0">
      <sharedItems containsSemiMixedTypes="0" containsString="0" containsNumber="1" minValue="0" maxValue="19"/>
    </cacheField>
    <cacheField name="Year" numFmtId="0">
      <sharedItems containsSemiMixedTypes="0" containsString="0" containsNumber="1" containsInteger="1" minValue="2020" maxValue="2025" count="6">
        <n v="2020"/>
        <n v="2021"/>
        <n v="2022"/>
        <n v="2023"/>
        <n v="2024"/>
        <n v="2025"/>
      </sharedItems>
    </cacheField>
    <cacheField name="Stability" numFmtId="0">
      <sharedItems count="5">
        <s v="5+ years"/>
        <s v="4+ years"/>
        <s v="3+ years"/>
        <s v="2+ years"/>
        <s v="1+ years"/>
      </sharedItems>
    </cacheField>
  </cacheFields>
  <extLst>
    <ext xmlns:x14="http://schemas.microsoft.com/office/spreadsheetml/2009/9/main" uri="{725AE2AE-9491-48be-B2B4-4EB974FC3084}">
      <x14:pivotCacheDefinition pivotCacheId="1463709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
  <r>
    <x v="0"/>
    <s v="IJP"/>
    <s v="CT18807"/>
    <s v="Adrian Odonnell"/>
    <d v="2020-04-29T00:00:00"/>
    <m/>
    <x v="0"/>
    <x v="0"/>
    <x v="0"/>
    <d v="2021-07-13T00:00:00"/>
    <s v="Single"/>
    <x v="0"/>
    <x v="0"/>
    <n v="0"/>
    <x v="0"/>
    <x v="0"/>
  </r>
  <r>
    <x v="1"/>
    <m/>
    <s v="CT12674"/>
    <s v="Marina Velazquez"/>
    <d v="2020-09-01T00:00:00"/>
    <d v="2020-12-18T00:00:00"/>
    <x v="0"/>
    <x v="0"/>
    <x v="0"/>
    <d v="2021-10-03T00:00:00"/>
    <s v="Married"/>
    <x v="1"/>
    <x v="1"/>
    <n v="6.5"/>
    <x v="0"/>
    <x v="0"/>
  </r>
  <r>
    <x v="0"/>
    <m/>
    <s v="CT11735"/>
    <s v="Regina Schaefer"/>
    <d v="2021-01-01T00:00:00"/>
    <m/>
    <x v="0"/>
    <x v="0"/>
    <x v="0"/>
    <d v="2021-02-09T00:00:00"/>
    <s v="Single"/>
    <x v="0"/>
    <x v="0"/>
    <n v="4.8"/>
    <x v="1"/>
    <x v="0"/>
  </r>
  <r>
    <x v="0"/>
    <m/>
    <s v="CT10131"/>
    <s v="Donna Sparks"/>
    <d v="2021-02-09T00:00:00"/>
    <m/>
    <x v="0"/>
    <x v="0"/>
    <x v="0"/>
    <d v="2021-03-14T00:00:00"/>
    <s v="Single"/>
    <x v="0"/>
    <x v="2"/>
    <n v="14"/>
    <x v="1"/>
    <x v="0"/>
  </r>
  <r>
    <x v="1"/>
    <m/>
    <s v="CT16953"/>
    <s v="Sal Glass"/>
    <d v="2021-09-30T00:00:00"/>
    <d v="2022-09-30T00:00:00"/>
    <x v="1"/>
    <x v="0"/>
    <x v="1"/>
    <d v="2021-04-11T00:00:00"/>
    <s v="Single"/>
    <x v="0"/>
    <x v="3"/>
    <n v="0"/>
    <x v="1"/>
    <x v="0"/>
  </r>
  <r>
    <x v="1"/>
    <m/>
    <s v="CT11213"/>
    <s v="Malik Schneider"/>
    <d v="2022-04-04T00:00:00"/>
    <d v="2022-07-16T00:00:00"/>
    <x v="2"/>
    <x v="0"/>
    <x v="0"/>
    <d v="2021-08-23T00:00:00"/>
    <s v="Single"/>
    <x v="0"/>
    <x v="4"/>
    <n v="2"/>
    <x v="2"/>
    <x v="1"/>
  </r>
  <r>
    <x v="1"/>
    <m/>
    <s v="CT17933"/>
    <s v="Fanny Hampton"/>
    <d v="2022-06-03T00:00:00"/>
    <d v="2023-01-25T00:00:00"/>
    <x v="1"/>
    <x v="0"/>
    <x v="0"/>
    <d v="2021-01-30T00:00:00"/>
    <s v="Single"/>
    <x v="0"/>
    <x v="3"/>
    <n v="2.8"/>
    <x v="2"/>
    <x v="1"/>
  </r>
  <r>
    <x v="1"/>
    <m/>
    <s v="CT17253"/>
    <s v="Edison York"/>
    <d v="2022-06-09T00:00:00"/>
    <d v="2023-08-11T00:00:00"/>
    <x v="1"/>
    <x v="0"/>
    <x v="0"/>
    <d v="2021-10-28T00:00:00"/>
    <s v="Single"/>
    <x v="0"/>
    <x v="5"/>
    <n v="0"/>
    <x v="2"/>
    <x v="1"/>
  </r>
  <r>
    <x v="1"/>
    <m/>
    <s v="CT14693"/>
    <s v="Geraldo Pugh"/>
    <d v="2022-07-07T00:00:00"/>
    <d v="2023-08-30T00:00:00"/>
    <x v="3"/>
    <x v="0"/>
    <x v="0"/>
    <d v="2021-12-26T00:00:00"/>
    <s v="Single"/>
    <x v="0"/>
    <x v="5"/>
    <n v="3"/>
    <x v="2"/>
    <x v="1"/>
  </r>
  <r>
    <x v="1"/>
    <m/>
    <s v="CT11465"/>
    <s v="Ellis Best"/>
    <d v="2022-08-04T00:00:00"/>
    <d v="2023-05-13T00:00:00"/>
    <x v="1"/>
    <x v="0"/>
    <x v="0"/>
    <d v="2021-04-07T00:00:00"/>
    <s v="Single"/>
    <x v="0"/>
    <x v="2"/>
    <n v="5.9"/>
    <x v="2"/>
    <x v="1"/>
  </r>
  <r>
    <x v="0"/>
    <m/>
    <s v="CT12948"/>
    <s v="Olen Walter"/>
    <d v="2022-09-01T00:00:00"/>
    <m/>
    <x v="4"/>
    <x v="0"/>
    <x v="0"/>
    <d v="2021-10-18T00:00:00"/>
    <s v="Married"/>
    <x v="0"/>
    <x v="4"/>
    <n v="10"/>
    <x v="2"/>
    <x v="1"/>
  </r>
  <r>
    <x v="1"/>
    <m/>
    <s v="CT11145"/>
    <s v="Mckinley Baird"/>
    <d v="2022-09-08T00:00:00"/>
    <d v="2023-12-30T00:00:00"/>
    <x v="4"/>
    <x v="0"/>
    <x v="1"/>
    <d v="2021-04-26T00:00:00"/>
    <s v="Single"/>
    <x v="0"/>
    <x v="3"/>
    <n v="1"/>
    <x v="2"/>
    <x v="1"/>
  </r>
  <r>
    <x v="0"/>
    <m/>
    <s v="CT18269"/>
    <s v="Maura Huynh"/>
    <d v="2022-11-08T00:00:00"/>
    <m/>
    <x v="4"/>
    <x v="0"/>
    <x v="0"/>
    <d v="2021-10-27T00:00:00"/>
    <s v="Married"/>
    <x v="0"/>
    <x v="6"/>
    <n v="10"/>
    <x v="2"/>
    <x v="2"/>
  </r>
  <r>
    <x v="1"/>
    <m/>
    <s v="CT13931"/>
    <s v="Buster Joyce"/>
    <d v="2023-01-21T00:00:00"/>
    <d v="2023-11-21T00:00:00"/>
    <x v="5"/>
    <x v="0"/>
    <x v="0"/>
    <d v="2021-09-06T00:00:00"/>
    <s v="Single"/>
    <x v="0"/>
    <x v="3"/>
    <n v="0"/>
    <x v="3"/>
    <x v="2"/>
  </r>
  <r>
    <x v="1"/>
    <m/>
    <s v="CT15252"/>
    <s v="Rosanna Bauer"/>
    <d v="2023-06-06T00:00:00"/>
    <d v="2024-05-03T00:00:00"/>
    <x v="5"/>
    <x v="0"/>
    <x v="1"/>
    <d v="2022-02-28T00:00:00"/>
    <s v="Single"/>
    <x v="0"/>
    <x v="5"/>
    <n v="0.1"/>
    <x v="3"/>
    <x v="2"/>
  </r>
  <r>
    <x v="0"/>
    <m/>
    <s v="CT13664"/>
    <s v="Marion Harmon"/>
    <d v="2023-10-19T00:00:00"/>
    <m/>
    <x v="5"/>
    <x v="0"/>
    <x v="1"/>
    <d v="2022-09-26T00:00:00"/>
    <s v="Single"/>
    <x v="0"/>
    <x v="5"/>
    <n v="0"/>
    <x v="3"/>
    <x v="3"/>
  </r>
  <r>
    <x v="0"/>
    <m/>
    <s v="CT10043"/>
    <s v="Shawn Ross"/>
    <d v="2023-12-14T00:00:00"/>
    <m/>
    <x v="5"/>
    <x v="0"/>
    <x v="1"/>
    <d v="2022-11-12T00:00:00"/>
    <s v="Single"/>
    <x v="0"/>
    <x v="2"/>
    <n v="4"/>
    <x v="3"/>
    <x v="3"/>
  </r>
  <r>
    <x v="0"/>
    <m/>
    <s v="CT16547"/>
    <s v="Houston Wilson"/>
    <d v="2024-02-06T00:00:00"/>
    <m/>
    <x v="0"/>
    <x v="0"/>
    <x v="0"/>
    <d v="2021-12-28T00:00:00"/>
    <s v="Single"/>
    <x v="0"/>
    <x v="5"/>
    <n v="0"/>
    <x v="4"/>
    <x v="3"/>
  </r>
  <r>
    <x v="0"/>
    <m/>
    <s v="CT11188"/>
    <s v="Maricela Gates"/>
    <d v="2024-03-27T00:00:00"/>
    <m/>
    <x v="5"/>
    <x v="0"/>
    <x v="0"/>
    <d v="2003-03-06T00:00:00"/>
    <s v="Married"/>
    <x v="0"/>
    <x v="3"/>
    <n v="10"/>
    <x v="4"/>
    <x v="3"/>
  </r>
  <r>
    <x v="0"/>
    <m/>
    <s v="CT14537"/>
    <s v="Fletcher Tate"/>
    <d v="2024-06-01T00:00:00"/>
    <m/>
    <x v="5"/>
    <x v="0"/>
    <x v="1"/>
    <d v="2022-12-03T00:00:00"/>
    <s v="Married"/>
    <x v="0"/>
    <x v="2"/>
    <n v="4"/>
    <x v="4"/>
    <x v="3"/>
  </r>
  <r>
    <x v="0"/>
    <m/>
    <s v="CT14690"/>
    <s v="Emily Davis"/>
    <d v="2025-01-05T00:00:00"/>
    <m/>
    <x v="6"/>
    <x v="0"/>
    <x v="1"/>
    <d v="2021-05-22T00:00:00"/>
    <s v="Married"/>
    <x v="0"/>
    <x v="4"/>
    <n v="4.8"/>
    <x v="5"/>
    <x v="4"/>
  </r>
  <r>
    <x v="0"/>
    <m/>
    <s v="CT16195"/>
    <s v="Penelope Jordan"/>
    <d v="2025-01-14T00:00:00"/>
    <m/>
    <x v="6"/>
    <x v="0"/>
    <x v="0"/>
    <d v="2021-02-09T00:00:00"/>
    <s v="Single"/>
    <x v="0"/>
    <x v="0"/>
    <n v="9"/>
    <x v="5"/>
    <x v="4"/>
  </r>
  <r>
    <x v="0"/>
    <m/>
    <s v="CT16735"/>
    <s v="Alfredo Mcclain"/>
    <d v="2025-04-28T00:00:00"/>
    <m/>
    <x v="1"/>
    <x v="0"/>
    <x v="0"/>
    <d v="2021-12-06T00:00:00"/>
    <s v="Married"/>
    <x v="0"/>
    <x v="3"/>
    <n v="8"/>
    <x v="5"/>
    <x v="4"/>
  </r>
  <r>
    <x v="0"/>
    <s v="IJP"/>
    <n v="107224"/>
    <s v="Preston Case"/>
    <d v="2020-02-06T00:00:00"/>
    <m/>
    <x v="0"/>
    <x v="1"/>
    <x v="0"/>
    <d v="2021-08-25T00:00:00"/>
    <s v="Single"/>
    <x v="1"/>
    <x v="0"/>
    <n v="13"/>
    <x v="0"/>
    <x v="0"/>
  </r>
  <r>
    <x v="1"/>
    <s v="IJP"/>
    <n v="148467"/>
    <s v="Branden Kaiser"/>
    <d v="2020-02-08T00:00:00"/>
    <d v="2024-06-30T00:00:00"/>
    <x v="6"/>
    <x v="1"/>
    <x v="1"/>
    <d v="2021-10-25T00:00:00"/>
    <s v="Single"/>
    <x v="1"/>
    <x v="1"/>
    <n v="5"/>
    <x v="0"/>
    <x v="0"/>
  </r>
  <r>
    <x v="1"/>
    <m/>
    <n v="114416"/>
    <s v="Julia Bell"/>
    <d v="2020-02-13T00:00:00"/>
    <d v="2024-01-09T00:00:00"/>
    <x v="5"/>
    <x v="1"/>
    <x v="0"/>
    <d v="2021-11-24T00:00:00"/>
    <s v="Married"/>
    <x v="2"/>
    <x v="4"/>
    <n v="8"/>
    <x v="0"/>
    <x v="0"/>
  </r>
  <r>
    <x v="0"/>
    <m/>
    <n v="189095"/>
    <s v="Sammy Hancock"/>
    <d v="2020-02-26T00:00:00"/>
    <m/>
    <x v="5"/>
    <x v="1"/>
    <x v="0"/>
    <d v="2021-11-04T00:00:00"/>
    <s v="Single"/>
    <x v="2"/>
    <x v="0"/>
    <n v="17"/>
    <x v="0"/>
    <x v="0"/>
  </r>
  <r>
    <x v="1"/>
    <m/>
    <n v="123874"/>
    <s v="Mabel Cuevas"/>
    <d v="2020-03-11T00:00:00"/>
    <d v="2021-12-30T00:00:00"/>
    <x v="5"/>
    <x v="1"/>
    <x v="0"/>
    <d v="2021-12-28T00:00:00"/>
    <s v="Married"/>
    <x v="1"/>
    <x v="1"/>
    <n v="14"/>
    <x v="0"/>
    <x v="0"/>
  </r>
  <r>
    <x v="0"/>
    <s v="IJP"/>
    <n v="147637"/>
    <s v="Janelle Wiley"/>
    <d v="2020-03-26T00:00:00"/>
    <m/>
    <x v="0"/>
    <x v="1"/>
    <x v="0"/>
    <d v="2021-04-28T00:00:00"/>
    <s v="Single"/>
    <x v="1"/>
    <x v="4"/>
    <n v="14"/>
    <x v="0"/>
    <x v="0"/>
  </r>
  <r>
    <x v="0"/>
    <s v="IJP"/>
    <n v="183900"/>
    <s v="Norris Madden"/>
    <d v="2020-04-29T00:00:00"/>
    <m/>
    <x v="5"/>
    <x v="1"/>
    <x v="0"/>
    <d v="2021-04-23T00:00:00"/>
    <s v="Single"/>
    <x v="2"/>
    <x v="1"/>
    <n v="13"/>
    <x v="0"/>
    <x v="0"/>
  </r>
  <r>
    <x v="0"/>
    <m/>
    <n v="110700"/>
    <s v="Vincenzo Mcdowell"/>
    <d v="2020-05-20T00:00:00"/>
    <m/>
    <x v="5"/>
    <x v="1"/>
    <x v="0"/>
    <d v="2021-04-21T00:00:00"/>
    <s v="Single"/>
    <x v="2"/>
    <x v="4"/>
    <n v="13"/>
    <x v="0"/>
    <x v="0"/>
  </r>
  <r>
    <x v="0"/>
    <s v="IJP"/>
    <n v="188035"/>
    <s v="Chris Mcbride"/>
    <d v="2020-06-12T00:00:00"/>
    <m/>
    <x v="4"/>
    <x v="1"/>
    <x v="0"/>
    <d v="2022-08-08T00:00:00"/>
    <s v="Single"/>
    <x v="1"/>
    <x v="0"/>
    <n v="7"/>
    <x v="0"/>
    <x v="0"/>
  </r>
  <r>
    <x v="0"/>
    <m/>
    <n v="131049"/>
    <s v="Wesley Berger"/>
    <d v="2020-06-18T00:00:00"/>
    <m/>
    <x v="5"/>
    <x v="1"/>
    <x v="0"/>
    <d v="2021-12-31T00:00:00"/>
    <s v="Single"/>
    <x v="2"/>
    <x v="0"/>
    <n v="13"/>
    <x v="0"/>
    <x v="0"/>
  </r>
  <r>
    <x v="1"/>
    <m/>
    <n v="180582"/>
    <s v="Bart Sims"/>
    <d v="2020-06-26T00:00:00"/>
    <d v="2021-06-30T00:00:00"/>
    <x v="4"/>
    <x v="1"/>
    <x v="1"/>
    <d v="2021-05-27T00:00:00"/>
    <s v="Single"/>
    <x v="3"/>
    <x v="1"/>
    <n v="0"/>
    <x v="0"/>
    <x v="0"/>
  </r>
  <r>
    <x v="0"/>
    <m/>
    <n v="126718"/>
    <s v="Tricia Arroyo"/>
    <d v="2020-07-08T00:00:00"/>
    <m/>
    <x v="5"/>
    <x v="1"/>
    <x v="0"/>
    <d v="2021-10-03T00:00:00"/>
    <s v="Single"/>
    <x v="1"/>
    <x v="1"/>
    <n v="6.5"/>
    <x v="0"/>
    <x v="0"/>
  </r>
  <r>
    <x v="0"/>
    <m/>
    <n v="192425"/>
    <s v="Kennith Barber"/>
    <d v="2020-07-24T00:00:00"/>
    <m/>
    <x v="0"/>
    <x v="1"/>
    <x v="0"/>
    <d v="2021-05-22T00:00:00"/>
    <s v="Single"/>
    <x v="1"/>
    <x v="4"/>
    <n v="8"/>
    <x v="0"/>
    <x v="0"/>
  </r>
  <r>
    <x v="0"/>
    <m/>
    <n v="174008"/>
    <s v="Alonzo Harrison"/>
    <d v="2020-07-31T00:00:00"/>
    <m/>
    <x v="4"/>
    <x v="1"/>
    <x v="1"/>
    <d v="2021-12-10T00:00:00"/>
    <s v="Single"/>
    <x v="1"/>
    <x v="1"/>
    <n v="12"/>
    <x v="0"/>
    <x v="0"/>
  </r>
  <r>
    <x v="1"/>
    <m/>
    <n v="129735"/>
    <s v="Ryan Simmons"/>
    <d v="2020-08-14T00:00:00"/>
    <d v="2022-06-29T00:00:00"/>
    <x v="5"/>
    <x v="1"/>
    <x v="0"/>
    <d v="2021-01-15T00:00:00"/>
    <s v="Single"/>
    <x v="1"/>
    <x v="0"/>
    <n v="5"/>
    <x v="0"/>
    <x v="0"/>
  </r>
  <r>
    <x v="1"/>
    <m/>
    <n v="117328"/>
    <s v="Kirk Wagner"/>
    <d v="2020-08-26T00:00:00"/>
    <d v="2022-04-30T00:00:00"/>
    <x v="5"/>
    <x v="1"/>
    <x v="0"/>
    <d v="2021-02-09T00:00:00"/>
    <s v="Married"/>
    <x v="1"/>
    <x v="0"/>
    <n v="4.8"/>
    <x v="0"/>
    <x v="0"/>
  </r>
  <r>
    <x v="0"/>
    <m/>
    <n v="110646"/>
    <s v="Zackary Tucker"/>
    <d v="2020-09-01T00:00:00"/>
    <m/>
    <x v="3"/>
    <x v="1"/>
    <x v="0"/>
    <d v="2021-01-20T00:00:00"/>
    <s v="Married"/>
    <x v="1"/>
    <x v="4"/>
    <n v="9"/>
    <x v="0"/>
    <x v="0"/>
  </r>
  <r>
    <x v="0"/>
    <m/>
    <n v="114446"/>
    <s v="Roberto Ford"/>
    <d v="2020-09-01T00:00:00"/>
    <m/>
    <x v="6"/>
    <x v="1"/>
    <x v="0"/>
    <d v="2021-11-24T00:00:00"/>
    <s v="Married"/>
    <x v="2"/>
    <x v="4"/>
    <n v="8"/>
    <x v="0"/>
    <x v="0"/>
  </r>
  <r>
    <x v="0"/>
    <m/>
    <n v="189125"/>
    <s v="Sadie Mcmahon"/>
    <d v="2020-09-01T00:00:00"/>
    <m/>
    <x v="1"/>
    <x v="1"/>
    <x v="0"/>
    <d v="2021-11-04T00:00:00"/>
    <s v="Married"/>
    <x v="2"/>
    <x v="0"/>
    <n v="17"/>
    <x v="0"/>
    <x v="0"/>
  </r>
  <r>
    <x v="0"/>
    <s v="IJP"/>
    <n v="183930"/>
    <s v="Darla Parks"/>
    <d v="2020-09-01T00:00:00"/>
    <m/>
    <x v="1"/>
    <x v="1"/>
    <x v="0"/>
    <d v="2021-04-23T00:00:00"/>
    <s v="Married"/>
    <x v="2"/>
    <x v="1"/>
    <n v="13"/>
    <x v="0"/>
    <x v="0"/>
  </r>
  <r>
    <x v="0"/>
    <m/>
    <n v="110730"/>
    <s v="Darryl Leon"/>
    <d v="2020-09-01T00:00:00"/>
    <m/>
    <x v="2"/>
    <x v="1"/>
    <x v="0"/>
    <d v="2021-04-21T00:00:00"/>
    <s v="Single"/>
    <x v="2"/>
    <x v="4"/>
    <n v="13"/>
    <x v="0"/>
    <x v="0"/>
  </r>
  <r>
    <x v="0"/>
    <m/>
    <n v="131079"/>
    <s v="Letitia Church"/>
    <d v="2020-09-01T00:00:00"/>
    <m/>
    <x v="0"/>
    <x v="1"/>
    <x v="0"/>
    <d v="2021-12-31T00:00:00"/>
    <s v="Single"/>
    <x v="2"/>
    <x v="0"/>
    <n v="13"/>
    <x v="0"/>
    <x v="0"/>
  </r>
  <r>
    <x v="0"/>
    <m/>
    <n v="180612"/>
    <s v="Collin Paul"/>
    <d v="2020-09-01T00:00:00"/>
    <m/>
    <x v="4"/>
    <x v="1"/>
    <x v="1"/>
    <d v="2021-05-27T00:00:00"/>
    <s v="Single"/>
    <x v="3"/>
    <x v="1"/>
    <n v="0"/>
    <x v="0"/>
    <x v="0"/>
  </r>
  <r>
    <x v="1"/>
    <m/>
    <n v="154702"/>
    <s v="Frances Leblanc"/>
    <d v="2020-09-09T00:00:00"/>
    <d v="2024-01-20T00:00:00"/>
    <x v="5"/>
    <x v="1"/>
    <x v="1"/>
    <d v="2021-11-07T00:00:00"/>
    <s v="Married"/>
    <x v="3"/>
    <x v="0"/>
    <n v="0"/>
    <x v="0"/>
    <x v="0"/>
  </r>
  <r>
    <x v="0"/>
    <m/>
    <n v="101286"/>
    <s v="Alexis Conway"/>
    <d v="2020-09-09T00:00:00"/>
    <m/>
    <x v="5"/>
    <x v="1"/>
    <x v="0"/>
    <d v="2021-03-14T00:00:00"/>
    <s v="Single"/>
    <x v="2"/>
    <x v="2"/>
    <n v="14"/>
    <x v="0"/>
    <x v="0"/>
  </r>
  <r>
    <x v="1"/>
    <m/>
    <n v="137383"/>
    <s v="Roberta Moyer"/>
    <d v="2020-09-16T00:00:00"/>
    <d v="2021-03-03T00:00:00"/>
    <x v="3"/>
    <x v="1"/>
    <x v="0"/>
    <d v="2021-01-24T00:00:00"/>
    <s v="Single"/>
    <x v="2"/>
    <x v="0"/>
    <n v="9"/>
    <x v="0"/>
    <x v="0"/>
  </r>
  <r>
    <x v="1"/>
    <m/>
    <n v="185704"/>
    <s v="Alejandra Mack"/>
    <d v="2020-09-16T00:00:00"/>
    <d v="2021-07-18T00:00:00"/>
    <x v="4"/>
    <x v="1"/>
    <x v="0"/>
    <d v="2021-12-06T00:00:00"/>
    <s v="Single"/>
    <x v="3"/>
    <x v="5"/>
    <n v="0"/>
    <x v="0"/>
    <x v="0"/>
  </r>
  <r>
    <x v="1"/>
    <m/>
    <n v="151727"/>
    <s v="Chi Preston"/>
    <d v="2020-09-16T00:00:00"/>
    <d v="2023-06-29T00:00:00"/>
    <x v="4"/>
    <x v="1"/>
    <x v="0"/>
    <d v="2021-02-03T00:00:00"/>
    <s v="Single"/>
    <x v="3"/>
    <x v="5"/>
    <n v="0"/>
    <x v="0"/>
    <x v="0"/>
  </r>
  <r>
    <x v="1"/>
    <m/>
    <n v="135167"/>
    <s v="Randolph Reilly"/>
    <d v="2020-09-16T00:00:00"/>
    <d v="2023-09-26T00:00:00"/>
    <x v="4"/>
    <x v="1"/>
    <x v="0"/>
    <d v="2021-03-28T00:00:00"/>
    <s v="Single"/>
    <x v="3"/>
    <x v="5"/>
    <n v="0"/>
    <x v="0"/>
    <x v="0"/>
  </r>
  <r>
    <x v="1"/>
    <m/>
    <n v="100971"/>
    <s v="Howard Wiggins"/>
    <d v="2020-09-16T00:00:00"/>
    <d v="2023-12-23T00:00:00"/>
    <x v="4"/>
    <x v="1"/>
    <x v="0"/>
    <d v="2021-09-08T00:00:00"/>
    <s v="Single"/>
    <x v="3"/>
    <x v="5"/>
    <n v="0"/>
    <x v="0"/>
    <x v="0"/>
  </r>
  <r>
    <x v="1"/>
    <m/>
    <n v="145787"/>
    <s v="Palmer Hart"/>
    <d v="2020-09-16T00:00:00"/>
    <d v="2024-01-27T00:00:00"/>
    <x v="4"/>
    <x v="1"/>
    <x v="1"/>
    <d v="2021-10-14T00:00:00"/>
    <s v="Married"/>
    <x v="3"/>
    <x v="5"/>
    <n v="0"/>
    <x v="0"/>
    <x v="0"/>
  </r>
  <r>
    <x v="1"/>
    <m/>
    <n v="170924"/>
    <s v="Lesa Terrell"/>
    <d v="2020-09-16T00:00:00"/>
    <d v="2024-03-17T00:00:00"/>
    <x v="6"/>
    <x v="1"/>
    <x v="0"/>
    <d v="2021-10-01T00:00:00"/>
    <s v="Single"/>
    <x v="3"/>
    <x v="5"/>
    <n v="0"/>
    <x v="0"/>
    <x v="0"/>
  </r>
  <r>
    <x v="1"/>
    <m/>
    <n v="129573"/>
    <s v="Celeste Moses"/>
    <d v="2020-09-16T00:00:00"/>
    <d v="2024-09-29T00:00:00"/>
    <x v="1"/>
    <x v="1"/>
    <x v="1"/>
    <d v="2021-09-16T00:00:00"/>
    <s v="Single"/>
    <x v="1"/>
    <x v="5"/>
    <n v="0"/>
    <x v="0"/>
    <x v="0"/>
  </r>
  <r>
    <x v="0"/>
    <m/>
    <n v="115742"/>
    <s v="Leanne Mosley"/>
    <d v="2020-09-16T00:00:00"/>
    <m/>
    <x v="1"/>
    <x v="1"/>
    <x v="1"/>
    <d v="2021-09-23T00:00:00"/>
    <s v="Single"/>
    <x v="1"/>
    <x v="5"/>
    <n v="0"/>
    <x v="0"/>
    <x v="0"/>
  </r>
  <r>
    <x v="0"/>
    <m/>
    <n v="126064"/>
    <s v="Renaldo Navarro"/>
    <d v="2020-09-16T00:00:00"/>
    <m/>
    <x v="1"/>
    <x v="1"/>
    <x v="1"/>
    <d v="2021-05-30T00:00:00"/>
    <s v="Single"/>
    <x v="1"/>
    <x v="5"/>
    <n v="0"/>
    <x v="0"/>
    <x v="0"/>
  </r>
  <r>
    <x v="0"/>
    <m/>
    <n v="173140"/>
    <s v="Sonia Ortiz"/>
    <d v="2020-09-16T00:00:00"/>
    <m/>
    <x v="6"/>
    <x v="1"/>
    <x v="0"/>
    <d v="2021-07-13T00:00:00"/>
    <s v="Single"/>
    <x v="1"/>
    <x v="5"/>
    <n v="0"/>
    <x v="0"/>
    <x v="0"/>
  </r>
  <r>
    <x v="1"/>
    <m/>
    <n v="181592"/>
    <s v="Faith Lopez"/>
    <d v="2020-10-16T00:00:00"/>
    <d v="2024-02-03T00:00:00"/>
    <x v="6"/>
    <x v="1"/>
    <x v="0"/>
    <d v="2021-01-24T00:00:00"/>
    <s v="Married"/>
    <x v="2"/>
    <x v="5"/>
    <n v="12"/>
    <x v="0"/>
    <x v="0"/>
  </r>
  <r>
    <x v="1"/>
    <m/>
    <n v="144158"/>
    <s v="Kim Ramirez"/>
    <d v="2020-11-28T00:00:00"/>
    <d v="2023-03-31T00:00:00"/>
    <x v="0"/>
    <x v="1"/>
    <x v="0"/>
    <d v="2021-04-10T00:00:00"/>
    <s v="Married"/>
    <x v="1"/>
    <x v="1"/>
    <n v="6"/>
    <x v="0"/>
    <x v="0"/>
  </r>
  <r>
    <x v="0"/>
    <m/>
    <n v="178955"/>
    <s v="Mariana Chavez"/>
    <d v="2020-12-02T00:00:00"/>
    <m/>
    <x v="6"/>
    <x v="1"/>
    <x v="0"/>
    <d v="2021-03-18T00:00:00"/>
    <s v="Single"/>
    <x v="1"/>
    <x v="1"/>
    <n v="8"/>
    <x v="0"/>
    <x v="0"/>
  </r>
  <r>
    <x v="1"/>
    <m/>
    <n v="110616"/>
    <s v="Tracey Burch"/>
    <d v="2020-12-21T00:00:00"/>
    <d v="2022-03-31T00:00:00"/>
    <x v="0"/>
    <x v="1"/>
    <x v="0"/>
    <d v="2021-01-20T00:00:00"/>
    <s v="Married"/>
    <x v="1"/>
    <x v="4"/>
    <n v="9"/>
    <x v="0"/>
    <x v="0"/>
  </r>
  <r>
    <x v="1"/>
    <m/>
    <n v="120981"/>
    <s v="Gabriela Juarez"/>
    <d v="2020-12-26T00:00:00"/>
    <d v="2023-07-01T00:00:00"/>
    <x v="0"/>
    <x v="1"/>
    <x v="1"/>
    <d v="2021-07-22T00:00:00"/>
    <s v="Single"/>
    <x v="3"/>
    <x v="0"/>
    <n v="0"/>
    <x v="0"/>
    <x v="0"/>
  </r>
  <r>
    <x v="1"/>
    <m/>
    <n v="140182"/>
    <s v="Katheryn Trevino"/>
    <d v="2021-01-22T00:00:00"/>
    <d v="2022-03-15T00:00:00"/>
    <x v="4"/>
    <x v="1"/>
    <x v="1"/>
    <d v="2021-02-08T00:00:00"/>
    <s v="Single"/>
    <x v="3"/>
    <x v="0"/>
    <n v="0"/>
    <x v="1"/>
    <x v="0"/>
  </r>
  <r>
    <x v="1"/>
    <m/>
    <n v="174057"/>
    <s v="Angelita Townsend"/>
    <d v="2021-01-22T00:00:00"/>
    <d v="2023-02-08T00:00:00"/>
    <x v="4"/>
    <x v="1"/>
    <x v="0"/>
    <d v="2021-11-11T00:00:00"/>
    <s v="Married"/>
    <x v="1"/>
    <x v="0"/>
    <n v="6"/>
    <x v="1"/>
    <x v="0"/>
  </r>
  <r>
    <x v="1"/>
    <m/>
    <n v="124194"/>
    <s v="Damon Burgess"/>
    <d v="2021-01-29T00:00:00"/>
    <d v="2022-03-10T00:00:00"/>
    <x v="1"/>
    <x v="1"/>
    <x v="0"/>
    <d v="2021-01-25T00:00:00"/>
    <s v="Married"/>
    <x v="2"/>
    <x v="1"/>
    <n v="13"/>
    <x v="1"/>
    <x v="0"/>
  </r>
  <r>
    <x v="1"/>
    <m/>
    <n v="185420"/>
    <s v="Olen Watts"/>
    <d v="2021-02-19T00:00:00"/>
    <d v="2023-09-30T00:00:00"/>
    <x v="2"/>
    <x v="1"/>
    <x v="0"/>
    <d v="2021-06-24T00:00:00"/>
    <s v="Married"/>
    <x v="1"/>
    <x v="2"/>
    <n v="5"/>
    <x v="1"/>
    <x v="0"/>
  </r>
  <r>
    <x v="1"/>
    <m/>
    <n v="184945"/>
    <s v="Raymond Levine"/>
    <d v="2021-02-24T00:00:00"/>
    <d v="2022-07-06T00:00:00"/>
    <x v="1"/>
    <x v="1"/>
    <x v="0"/>
    <d v="2021-09-27T00:00:00"/>
    <s v="Married"/>
    <x v="1"/>
    <x v="1"/>
    <n v="10"/>
    <x v="1"/>
    <x v="0"/>
  </r>
  <r>
    <x v="0"/>
    <m/>
    <n v="129852"/>
    <s v="Sally Hinton"/>
    <d v="2021-03-02T00:00:00"/>
    <m/>
    <x v="4"/>
    <x v="1"/>
    <x v="0"/>
    <d v="2021-01-04T00:00:00"/>
    <s v="Single"/>
    <x v="2"/>
    <x v="0"/>
    <n v="10"/>
    <x v="1"/>
    <x v="0"/>
  </r>
  <r>
    <x v="1"/>
    <m/>
    <n v="139272"/>
    <s v="Katelyn Ware"/>
    <d v="2021-03-09T00:00:00"/>
    <d v="2023-06-30T00:00:00"/>
    <x v="0"/>
    <x v="1"/>
    <x v="1"/>
    <d v="2021-06-16T00:00:00"/>
    <s v="Married"/>
    <x v="1"/>
    <x v="0"/>
    <n v="8"/>
    <x v="1"/>
    <x v="0"/>
  </r>
  <r>
    <x v="0"/>
    <m/>
    <n v="194976"/>
    <s v="Jessie Bowen"/>
    <d v="2021-03-16T00:00:00"/>
    <m/>
    <x v="4"/>
    <x v="1"/>
    <x v="1"/>
    <d v="2021-01-04T00:00:00"/>
    <s v="Single"/>
    <x v="1"/>
    <x v="0"/>
    <n v="3.5"/>
    <x v="1"/>
    <x v="0"/>
  </r>
  <r>
    <x v="0"/>
    <m/>
    <n v="132557"/>
    <s v="Mac Marquez"/>
    <d v="2021-05-27T00:00:00"/>
    <m/>
    <x v="1"/>
    <x v="1"/>
    <x v="1"/>
    <d v="2021-08-21T00:00:00"/>
    <s v="Single"/>
    <x v="1"/>
    <x v="2"/>
    <n v="7"/>
    <x v="1"/>
    <x v="0"/>
  </r>
  <r>
    <x v="1"/>
    <s v="OnRoll"/>
    <n v="187280"/>
    <s v="Spencer Webb"/>
    <d v="2021-08-10T00:00:00"/>
    <d v="2022-02-19T00:00:00"/>
    <x v="4"/>
    <x v="1"/>
    <x v="1"/>
    <d v="2021-09-16T00:00:00"/>
    <s v="Single"/>
    <x v="3"/>
    <x v="0"/>
    <n v="0"/>
    <x v="1"/>
    <x v="0"/>
  </r>
  <r>
    <x v="0"/>
    <s v="OnRoll"/>
    <n v="190396"/>
    <s v="Valentin Mcdonald"/>
    <d v="2021-08-10T00:00:00"/>
    <m/>
    <x v="4"/>
    <x v="1"/>
    <x v="0"/>
    <d v="2021-11-13T00:00:00"/>
    <s v="Single"/>
    <x v="3"/>
    <x v="0"/>
    <n v="0"/>
    <x v="1"/>
    <x v="0"/>
  </r>
  <r>
    <x v="2"/>
    <m/>
    <n v="161242"/>
    <s v="Royce Schneider"/>
    <d v="2021-08-12T00:00:00"/>
    <m/>
    <x v="3"/>
    <x v="1"/>
    <x v="0"/>
    <d v="2021-12-26T00:00:00"/>
    <s v="Married"/>
    <x v="1"/>
    <x v="0"/>
    <n v="10"/>
    <x v="1"/>
    <x v="0"/>
  </r>
  <r>
    <x v="1"/>
    <m/>
    <n v="156965"/>
    <s v="Kara Mclean"/>
    <d v="2021-08-17T00:00:00"/>
    <d v="2022-03-16T00:00:00"/>
    <x v="4"/>
    <x v="1"/>
    <x v="1"/>
    <d v="2021-02-20T00:00:00"/>
    <s v="Married"/>
    <x v="1"/>
    <x v="0"/>
    <n v="11"/>
    <x v="1"/>
    <x v="0"/>
  </r>
  <r>
    <x v="1"/>
    <m/>
    <n v="192455"/>
    <s v="Damian Mckee"/>
    <d v="2021-09-01T00:00:00"/>
    <d v="2021-02-06T00:00:00"/>
    <x v="0"/>
    <x v="1"/>
    <x v="0"/>
    <d v="2021-05-22T00:00:00"/>
    <s v="Married"/>
    <x v="1"/>
    <x v="4"/>
    <n v="8"/>
    <x v="1"/>
    <x v="0"/>
  </r>
  <r>
    <x v="1"/>
    <m/>
    <n v="174038"/>
    <s v="Mohamed Duran"/>
    <d v="2021-09-01T00:00:00"/>
    <d v="2021-03-27T00:00:00"/>
    <x v="4"/>
    <x v="1"/>
    <x v="1"/>
    <d v="2021-12-10T00:00:00"/>
    <s v="Married"/>
    <x v="1"/>
    <x v="1"/>
    <n v="12"/>
    <x v="1"/>
    <x v="0"/>
  </r>
  <r>
    <x v="0"/>
    <m/>
    <n v="129765"/>
    <s v="Vera Harvey"/>
    <d v="2021-09-01T00:00:00"/>
    <m/>
    <x v="0"/>
    <x v="1"/>
    <x v="0"/>
    <d v="2021-01-15T00:00:00"/>
    <s v="Single"/>
    <x v="1"/>
    <x v="0"/>
    <n v="5"/>
    <x v="1"/>
    <x v="0"/>
  </r>
  <r>
    <x v="0"/>
    <m/>
    <n v="154732"/>
    <s v="Cristina David"/>
    <d v="2021-09-09T00:00:00"/>
    <m/>
    <x v="5"/>
    <x v="1"/>
    <x v="1"/>
    <d v="2021-11-07T00:00:00"/>
    <s v="Single"/>
    <x v="3"/>
    <x v="0"/>
    <n v="0"/>
    <x v="1"/>
    <x v="0"/>
  </r>
  <r>
    <x v="0"/>
    <m/>
    <n v="137413"/>
    <s v="Florence Randall"/>
    <d v="2021-09-16T00:00:00"/>
    <m/>
    <x v="5"/>
    <x v="1"/>
    <x v="0"/>
    <d v="2021-01-24T00:00:00"/>
    <s v="Single"/>
    <x v="2"/>
    <x v="0"/>
    <n v="9"/>
    <x v="1"/>
    <x v="0"/>
  </r>
  <r>
    <x v="0"/>
    <m/>
    <n v="185734"/>
    <s v="Andrea Logan"/>
    <d v="2021-09-16T00:00:00"/>
    <m/>
    <x v="4"/>
    <x v="1"/>
    <x v="0"/>
    <d v="2021-12-06T00:00:00"/>
    <s v="Single"/>
    <x v="3"/>
    <x v="5"/>
    <n v="0"/>
    <x v="1"/>
    <x v="0"/>
  </r>
  <r>
    <x v="0"/>
    <m/>
    <n v="142749"/>
    <s v="Barrett Wallace"/>
    <d v="2021-09-30T00:00:00"/>
    <m/>
    <x v="4"/>
    <x v="1"/>
    <x v="0"/>
    <d v="2021-07-04T00:00:00"/>
    <s v="Single"/>
    <x v="1"/>
    <x v="0"/>
    <n v="17"/>
    <x v="1"/>
    <x v="0"/>
  </r>
  <r>
    <x v="1"/>
    <m/>
    <n v="116657"/>
    <s v="Claude Ramsey"/>
    <d v="2021-10-21T00:00:00"/>
    <d v="2022-06-28T00:00:00"/>
    <x v="4"/>
    <x v="1"/>
    <x v="0"/>
    <d v="2021-04-14T00:00:00"/>
    <s v="Single"/>
    <x v="1"/>
    <x v="0"/>
    <n v="4.5999999999999996"/>
    <x v="1"/>
    <x v="1"/>
  </r>
  <r>
    <x v="0"/>
    <m/>
    <n v="144530"/>
    <s v="Mason Wells"/>
    <d v="2021-11-18T00:00:00"/>
    <m/>
    <x v="4"/>
    <x v="1"/>
    <x v="0"/>
    <d v="2021-03-20T00:00:00"/>
    <s v="Single"/>
    <x v="1"/>
    <x v="6"/>
    <n v="14"/>
    <x v="1"/>
    <x v="1"/>
  </r>
  <r>
    <x v="0"/>
    <m/>
    <n v="101259"/>
    <s v="Whitney Vance"/>
    <d v="2022-02-24T00:00:00"/>
    <m/>
    <x v="1"/>
    <x v="1"/>
    <x v="0"/>
    <d v="2021-11-27T00:00:00"/>
    <s v="Married"/>
    <x v="2"/>
    <x v="0"/>
    <n v="12"/>
    <x v="2"/>
    <x v="1"/>
  </r>
  <r>
    <x v="0"/>
    <m/>
    <n v="122323"/>
    <s v="Bobbie Harvey"/>
    <d v="2022-03-03T00:00:00"/>
    <m/>
    <x v="2"/>
    <x v="1"/>
    <x v="1"/>
    <d v="2021-08-18T00:00:00"/>
    <s v="Married"/>
    <x v="1"/>
    <x v="6"/>
    <n v="14"/>
    <x v="2"/>
    <x v="1"/>
  </r>
  <r>
    <x v="0"/>
    <m/>
    <n v="136489"/>
    <s v="Russel Fox"/>
    <d v="2022-03-17T00:00:00"/>
    <m/>
    <x v="4"/>
    <x v="1"/>
    <x v="0"/>
    <d v="2021-02-03T00:00:00"/>
    <s v="Married"/>
    <x v="1"/>
    <x v="6"/>
    <n v="5.3"/>
    <x v="2"/>
    <x v="1"/>
  </r>
  <r>
    <x v="0"/>
    <m/>
    <n v="107161"/>
    <s v="Benita Holland"/>
    <d v="2022-03-24T00:00:00"/>
    <m/>
    <x v="0"/>
    <x v="1"/>
    <x v="1"/>
    <d v="2021-07-25T00:00:00"/>
    <s v="Single"/>
    <x v="3"/>
    <x v="6"/>
    <n v="2.5"/>
    <x v="2"/>
    <x v="1"/>
  </r>
  <r>
    <x v="0"/>
    <m/>
    <n v="182061"/>
    <s v="Cory Leblanc"/>
    <d v="2022-03-24T00:00:00"/>
    <m/>
    <x v="4"/>
    <x v="1"/>
    <x v="0"/>
    <d v="2021-05-06T00:00:00"/>
    <s v="Single"/>
    <x v="1"/>
    <x v="6"/>
    <n v="2.11"/>
    <x v="2"/>
    <x v="1"/>
  </r>
  <r>
    <x v="0"/>
    <m/>
    <n v="123190"/>
    <s v="Isaiah George"/>
    <d v="2022-04-07T00:00:00"/>
    <m/>
    <x v="4"/>
    <x v="1"/>
    <x v="1"/>
    <d v="2021-01-18T00:00:00"/>
    <s v="Single"/>
    <x v="3"/>
    <x v="6"/>
    <n v="0"/>
    <x v="2"/>
    <x v="1"/>
  </r>
  <r>
    <x v="0"/>
    <m/>
    <n v="118638"/>
    <s v="Brad Nichols"/>
    <d v="2022-04-07T00:00:00"/>
    <m/>
    <x v="4"/>
    <x v="1"/>
    <x v="0"/>
    <d v="2021-11-24T00:00:00"/>
    <s v="Married"/>
    <x v="1"/>
    <x v="6"/>
    <n v="15"/>
    <x v="2"/>
    <x v="1"/>
  </r>
  <r>
    <x v="0"/>
    <m/>
    <n v="132330"/>
    <s v="Quentin Mcdonald"/>
    <d v="2022-04-14T00:00:00"/>
    <m/>
    <x v="3"/>
    <x v="1"/>
    <x v="0"/>
    <d v="2021-10-14T00:00:00"/>
    <s v="Married"/>
    <x v="2"/>
    <x v="5"/>
    <n v="14"/>
    <x v="2"/>
    <x v="1"/>
  </r>
  <r>
    <x v="0"/>
    <m/>
    <n v="191594"/>
    <s v="Johnie Pruitt"/>
    <d v="2022-04-19T00:00:00"/>
    <m/>
    <x v="2"/>
    <x v="1"/>
    <x v="0"/>
    <d v="2021-09-07T00:00:00"/>
    <s v="Married"/>
    <x v="1"/>
    <x v="0"/>
    <n v="8"/>
    <x v="2"/>
    <x v="1"/>
  </r>
  <r>
    <x v="2"/>
    <m/>
    <n v="152991"/>
    <s v="Walker Whitney"/>
    <d v="2022-05-05T00:00:00"/>
    <m/>
    <x v="1"/>
    <x v="1"/>
    <x v="0"/>
    <d v="2021-02-18T00:00:00"/>
    <s v="Married"/>
    <x v="1"/>
    <x v="0"/>
    <n v="15"/>
    <x v="2"/>
    <x v="1"/>
  </r>
  <r>
    <x v="1"/>
    <s v="OnRoll"/>
    <n v="101996"/>
    <s v="Alexander Fowler"/>
    <d v="2022-06-30T00:00:00"/>
    <d v="2023-07-01T00:00:00"/>
    <x v="1"/>
    <x v="1"/>
    <x v="0"/>
    <d v="2021-08-06T00:00:00"/>
    <s v="Single"/>
    <x v="3"/>
    <x v="6"/>
    <n v="1"/>
    <x v="2"/>
    <x v="1"/>
  </r>
  <r>
    <x v="1"/>
    <m/>
    <n v="138939"/>
    <s v="Susanna Humphrey"/>
    <d v="2022-07-07T00:00:00"/>
    <d v="2023-05-08T00:00:00"/>
    <x v="1"/>
    <x v="1"/>
    <x v="1"/>
    <d v="2021-04-03T00:00:00"/>
    <s v="Married"/>
    <x v="1"/>
    <x v="0"/>
    <n v="6"/>
    <x v="2"/>
    <x v="1"/>
  </r>
  <r>
    <x v="1"/>
    <m/>
    <n v="198396"/>
    <s v="Beth Lowe"/>
    <d v="2022-07-21T00:00:00"/>
    <d v="2024-02-02T00:00:00"/>
    <x v="1"/>
    <x v="1"/>
    <x v="0"/>
    <d v="2021-01-12T00:00:00"/>
    <s v="Married"/>
    <x v="2"/>
    <x v="1"/>
    <n v="18"/>
    <x v="2"/>
    <x v="1"/>
  </r>
  <r>
    <x v="0"/>
    <m/>
    <n v="194143"/>
    <s v="Casandra Aguilar"/>
    <d v="2022-07-21T00:00:00"/>
    <m/>
    <x v="4"/>
    <x v="1"/>
    <x v="0"/>
    <d v="2021-02-21T00:00:00"/>
    <s v="Married"/>
    <x v="1"/>
    <x v="6"/>
    <n v="6.5"/>
    <x v="2"/>
    <x v="1"/>
  </r>
  <r>
    <x v="2"/>
    <m/>
    <n v="134729"/>
    <s v="Lynn Andersen"/>
    <d v="2022-07-26T00:00:00"/>
    <m/>
    <x v="1"/>
    <x v="1"/>
    <x v="0"/>
    <d v="2021-01-10T00:00:00"/>
    <s v="Single"/>
    <x v="1"/>
    <x v="0"/>
    <n v="7"/>
    <x v="2"/>
    <x v="1"/>
  </r>
  <r>
    <x v="1"/>
    <m/>
    <n v="186526"/>
    <s v="Leola Vega"/>
    <d v="2022-09-01T00:00:00"/>
    <d v="2023-12-09T00:00:00"/>
    <x v="4"/>
    <x v="1"/>
    <x v="1"/>
    <d v="2021-12-10T00:00:00"/>
    <s v="Married"/>
    <x v="3"/>
    <x v="6"/>
    <n v="1.8"/>
    <x v="2"/>
    <x v="1"/>
  </r>
  <r>
    <x v="0"/>
    <m/>
    <n v="115395"/>
    <s v="Hillary Spencer"/>
    <d v="2022-09-01T00:00:00"/>
    <m/>
    <x v="4"/>
    <x v="1"/>
    <x v="1"/>
    <d v="2021-10-26T00:00:00"/>
    <s v="Single"/>
    <x v="3"/>
    <x v="6"/>
    <n v="3.5"/>
    <x v="2"/>
    <x v="1"/>
  </r>
  <r>
    <x v="0"/>
    <m/>
    <n v="160948"/>
    <s v="Joesph Jones"/>
    <d v="2022-09-01T00:00:00"/>
    <m/>
    <x v="4"/>
    <x v="1"/>
    <x v="1"/>
    <d v="2021-10-03T00:00:00"/>
    <s v="Single"/>
    <x v="3"/>
    <x v="6"/>
    <n v="0"/>
    <x v="2"/>
    <x v="1"/>
  </r>
  <r>
    <x v="0"/>
    <m/>
    <n v="163814"/>
    <s v="Otha May"/>
    <d v="2022-09-01T00:00:00"/>
    <m/>
    <x v="0"/>
    <x v="1"/>
    <x v="0"/>
    <d v="2021-01-12T00:00:00"/>
    <s v="Single"/>
    <x v="3"/>
    <x v="6"/>
    <n v="2"/>
    <x v="2"/>
    <x v="1"/>
  </r>
  <r>
    <x v="0"/>
    <m/>
    <n v="163161"/>
    <s v="Ophelia Black"/>
    <d v="2022-09-01T00:00:00"/>
    <m/>
    <x v="4"/>
    <x v="1"/>
    <x v="0"/>
    <d v="2021-01-19T00:00:00"/>
    <s v="Married"/>
    <x v="1"/>
    <x v="6"/>
    <n v="13"/>
    <x v="2"/>
    <x v="1"/>
  </r>
  <r>
    <x v="0"/>
    <m/>
    <n v="173240"/>
    <s v="Helena Williamson"/>
    <d v="2022-09-15T00:00:00"/>
    <m/>
    <x v="0"/>
    <x v="1"/>
    <x v="1"/>
    <d v="2021-02-02T00:00:00"/>
    <s v="Married"/>
    <x v="1"/>
    <x v="6"/>
    <n v="8.1999999999999993"/>
    <x v="2"/>
    <x v="1"/>
  </r>
  <r>
    <x v="0"/>
    <m/>
    <n v="109673"/>
    <s v="Megan Kent"/>
    <d v="2022-10-06T00:00:00"/>
    <m/>
    <x v="4"/>
    <x v="1"/>
    <x v="0"/>
    <d v="2021-05-10T00:00:00"/>
    <s v="Single"/>
    <x v="3"/>
    <x v="6"/>
    <n v="7.6"/>
    <x v="2"/>
    <x v="1"/>
  </r>
  <r>
    <x v="0"/>
    <m/>
    <n v="138302"/>
    <s v="Rufus Escobar"/>
    <d v="2022-10-13T00:00:00"/>
    <m/>
    <x v="4"/>
    <x v="1"/>
    <x v="0"/>
    <d v="2021-08-25T00:00:00"/>
    <s v="Single"/>
    <x v="3"/>
    <x v="6"/>
    <n v="6.2"/>
    <x v="2"/>
    <x v="1"/>
  </r>
  <r>
    <x v="2"/>
    <m/>
    <n v="126765"/>
    <s v="Ericka Hurst"/>
    <d v="2022-11-03T00:00:00"/>
    <m/>
    <x v="1"/>
    <x v="1"/>
    <x v="0"/>
    <d v="2021-01-21T00:00:00"/>
    <s v="Married"/>
    <x v="1"/>
    <x v="0"/>
    <n v="15"/>
    <x v="2"/>
    <x v="2"/>
  </r>
  <r>
    <x v="2"/>
    <m/>
    <n v="188099"/>
    <s v="Johnny Cisneros"/>
    <d v="2022-12-06T00:00:00"/>
    <m/>
    <x v="1"/>
    <x v="1"/>
    <x v="0"/>
    <d v="2021-05-16T00:00:00"/>
    <s v="Married"/>
    <x v="1"/>
    <x v="0"/>
    <n v="16"/>
    <x v="2"/>
    <x v="2"/>
  </r>
  <r>
    <x v="0"/>
    <s v="OnRoll"/>
    <n v="115441"/>
    <s v="Alba Norton"/>
    <d v="2023-02-01T00:00:00"/>
    <m/>
    <x v="1"/>
    <x v="1"/>
    <x v="0"/>
    <d v="2021-06-30T00:00:00"/>
    <s v="Single"/>
    <x v="3"/>
    <x v="4"/>
    <n v="1.5"/>
    <x v="3"/>
    <x v="2"/>
  </r>
  <r>
    <x v="0"/>
    <s v="OnRoll"/>
    <n v="169669"/>
    <s v="Sanford Patterson"/>
    <d v="2023-04-11T00:00:00"/>
    <m/>
    <x v="1"/>
    <x v="1"/>
    <x v="1"/>
    <d v="2022-03-19T00:00:00"/>
    <s v="Married"/>
    <x v="1"/>
    <x v="2"/>
    <n v="6"/>
    <x v="3"/>
    <x v="2"/>
  </r>
  <r>
    <x v="0"/>
    <m/>
    <n v="100957"/>
    <s v="Blanche Greer"/>
    <d v="2023-04-20T00:00:00"/>
    <m/>
    <x v="1"/>
    <x v="1"/>
    <x v="1"/>
    <d v="2022-03-12T00:00:00"/>
    <s v="Married"/>
    <x v="1"/>
    <x v="0"/>
    <n v="8"/>
    <x v="3"/>
    <x v="2"/>
  </r>
  <r>
    <x v="2"/>
    <m/>
    <n v="193737"/>
    <s v="Nita Powers"/>
    <d v="2023-05-11T00:00:00"/>
    <m/>
    <x v="1"/>
    <x v="1"/>
    <x v="0"/>
    <d v="2022-10-13T00:00:00"/>
    <s v="Married"/>
    <x v="1"/>
    <x v="0"/>
    <n v="11.5"/>
    <x v="3"/>
    <x v="2"/>
  </r>
  <r>
    <x v="0"/>
    <m/>
    <n v="180698"/>
    <s v="Francesco Blanchard"/>
    <d v="2023-05-18T00:00:00"/>
    <m/>
    <x v="1"/>
    <x v="1"/>
    <x v="0"/>
    <d v="2022-03-09T00:00:00"/>
    <s v="Single"/>
    <x v="1"/>
    <x v="0"/>
    <n v="3.5"/>
    <x v="3"/>
    <x v="2"/>
  </r>
  <r>
    <x v="1"/>
    <m/>
    <n v="124433"/>
    <s v="Elias Davis"/>
    <d v="2023-06-01T00:00:00"/>
    <d v="2023-07-11T00:00:00"/>
    <x v="4"/>
    <x v="1"/>
    <x v="1"/>
    <d v="2022-11-02T00:00:00"/>
    <s v="Single"/>
    <x v="3"/>
    <x v="5"/>
    <n v="0"/>
    <x v="3"/>
    <x v="2"/>
  </r>
  <r>
    <x v="0"/>
    <s v="OnRoll"/>
    <n v="151636"/>
    <s v="Lucio Christian"/>
    <d v="2023-06-06T00:00:00"/>
    <m/>
    <x v="1"/>
    <x v="1"/>
    <x v="0"/>
    <d v="2021-02-28T00:00:00"/>
    <s v="Single"/>
    <x v="3"/>
    <x v="5"/>
    <n v="1.8"/>
    <x v="3"/>
    <x v="2"/>
  </r>
  <r>
    <x v="0"/>
    <s v="OnRoll"/>
    <n v="173529"/>
    <s v="Greg Schaefer"/>
    <d v="2023-06-06T00:00:00"/>
    <m/>
    <x v="1"/>
    <x v="1"/>
    <x v="1"/>
    <d v="2021-01-08T00:00:00"/>
    <s v="Single"/>
    <x v="3"/>
    <x v="5"/>
    <n v="1.5"/>
    <x v="3"/>
    <x v="2"/>
  </r>
  <r>
    <x v="0"/>
    <s v="OnRoll"/>
    <n v="116633"/>
    <s v="Adriana Little"/>
    <d v="2023-06-06T00:00:00"/>
    <m/>
    <x v="1"/>
    <x v="1"/>
    <x v="1"/>
    <d v="2021-01-22T00:00:00"/>
    <s v="Single"/>
    <x v="3"/>
    <x v="5"/>
    <n v="0.11"/>
    <x v="3"/>
    <x v="2"/>
  </r>
  <r>
    <x v="0"/>
    <s v="OnRoll"/>
    <n v="160990"/>
    <s v="Abdul Khan"/>
    <d v="2023-06-06T00:00:00"/>
    <m/>
    <x v="1"/>
    <x v="1"/>
    <x v="0"/>
    <d v="2022-08-31T00:00:00"/>
    <s v="Single"/>
    <x v="3"/>
    <x v="5"/>
    <n v="0"/>
    <x v="3"/>
    <x v="2"/>
  </r>
  <r>
    <x v="1"/>
    <m/>
    <n v="170513"/>
    <s v="Marissa Mckee"/>
    <d v="2023-06-08T00:00:00"/>
    <d v="2024-03-31T00:00:00"/>
    <x v="1"/>
    <x v="1"/>
    <x v="1"/>
    <d v="2022-05-31T00:00:00"/>
    <s v="Single"/>
    <x v="1"/>
    <x v="0"/>
    <n v="7"/>
    <x v="3"/>
    <x v="2"/>
  </r>
  <r>
    <x v="0"/>
    <m/>
    <n v="167822"/>
    <s v="Ashlee Ortega"/>
    <d v="2023-06-29T00:00:00"/>
    <m/>
    <x v="1"/>
    <x v="1"/>
    <x v="0"/>
    <d v="2022-07-31T00:00:00"/>
    <s v="Married"/>
    <x v="3"/>
    <x v="5"/>
    <n v="7"/>
    <x v="3"/>
    <x v="2"/>
  </r>
  <r>
    <x v="0"/>
    <m/>
    <n v="161037"/>
    <s v="Edmund Lawson"/>
    <d v="2023-07-04T00:00:00"/>
    <m/>
    <x v="1"/>
    <x v="1"/>
    <x v="1"/>
    <d v="2022-03-09T00:00:00"/>
    <s v="Single"/>
    <x v="3"/>
    <x v="0"/>
    <n v="5"/>
    <x v="3"/>
    <x v="2"/>
  </r>
  <r>
    <x v="0"/>
    <m/>
    <n v="153255"/>
    <s v="Linda Jacobs"/>
    <d v="2023-07-13T00:00:00"/>
    <m/>
    <x v="1"/>
    <x v="1"/>
    <x v="1"/>
    <d v="2022-01-29T00:00:00"/>
    <s v="Single"/>
    <x v="3"/>
    <x v="2"/>
    <n v="3.8"/>
    <x v="3"/>
    <x v="2"/>
  </r>
  <r>
    <x v="0"/>
    <m/>
    <n v="123179"/>
    <s v="Kelley Harding"/>
    <d v="2023-07-18T00:00:00"/>
    <m/>
    <x v="1"/>
    <x v="1"/>
    <x v="1"/>
    <d v="2022-02-20T00:00:00"/>
    <s v="Single"/>
    <x v="1"/>
    <x v="5"/>
    <n v="6.5"/>
    <x v="3"/>
    <x v="2"/>
  </r>
  <r>
    <x v="0"/>
    <m/>
    <n v="189554"/>
    <s v="Rose Carney"/>
    <d v="2023-07-27T00:00:00"/>
    <m/>
    <x v="1"/>
    <x v="1"/>
    <x v="1"/>
    <d v="2022-07-24T00:00:00"/>
    <s v="Married"/>
    <x v="1"/>
    <x v="5"/>
    <n v="8"/>
    <x v="3"/>
    <x v="2"/>
  </r>
  <r>
    <x v="0"/>
    <m/>
    <n v="186786"/>
    <s v="Emery Goodwin"/>
    <d v="2023-08-01T00:00:00"/>
    <m/>
    <x v="0"/>
    <x v="1"/>
    <x v="1"/>
    <d v="2022-09-15T00:00:00"/>
    <s v="Single"/>
    <x v="3"/>
    <x v="6"/>
    <n v="1.5"/>
    <x v="3"/>
    <x v="2"/>
  </r>
  <r>
    <x v="0"/>
    <m/>
    <n v="186818"/>
    <s v="Derick Singh"/>
    <d v="2023-08-03T00:00:00"/>
    <m/>
    <x v="0"/>
    <x v="1"/>
    <x v="0"/>
    <d v="2022-05-15T00:00:00"/>
    <s v="Single"/>
    <x v="1"/>
    <x v="6"/>
    <n v="7"/>
    <x v="3"/>
    <x v="2"/>
  </r>
  <r>
    <x v="0"/>
    <m/>
    <n v="147963"/>
    <s v="Hassan Wilcox"/>
    <d v="2023-08-16T00:00:00"/>
    <m/>
    <x v="1"/>
    <x v="1"/>
    <x v="1"/>
    <d v="2022-02-28T00:00:00"/>
    <s v="Married"/>
    <x v="1"/>
    <x v="0"/>
    <n v="15"/>
    <x v="3"/>
    <x v="2"/>
  </r>
  <r>
    <x v="0"/>
    <m/>
    <n v="150614"/>
    <s v="Natalie Serrano"/>
    <d v="2023-09-12T00:00:00"/>
    <m/>
    <x v="1"/>
    <x v="1"/>
    <x v="0"/>
    <d v="2022-09-26T00:00:00"/>
    <s v="Married"/>
    <x v="1"/>
    <x v="4"/>
    <n v="10.7"/>
    <x v="3"/>
    <x v="2"/>
  </r>
  <r>
    <x v="0"/>
    <m/>
    <n v="137151"/>
    <s v="Sandy Singleton"/>
    <d v="2023-09-26T00:00:00"/>
    <m/>
    <x v="4"/>
    <x v="1"/>
    <x v="1"/>
    <d v="2022-12-22T00:00:00"/>
    <s v="Single"/>
    <x v="3"/>
    <x v="6"/>
    <n v="2"/>
    <x v="3"/>
    <x v="2"/>
  </r>
  <r>
    <x v="0"/>
    <s v="OnRoll"/>
    <n v="173998"/>
    <s v="Josiah Hart"/>
    <d v="2023-10-28T00:00:00"/>
    <m/>
    <x v="1"/>
    <x v="1"/>
    <x v="0"/>
    <d v="2021-03-16T00:00:00"/>
    <s v="Single"/>
    <x v="1"/>
    <x v="1"/>
    <n v="5.3"/>
    <x v="3"/>
    <x v="3"/>
  </r>
  <r>
    <x v="0"/>
    <s v="OnRoll"/>
    <n v="103925"/>
    <s v="Wayne Hartman"/>
    <d v="2023-11-30T00:00:00"/>
    <m/>
    <x v="1"/>
    <x v="1"/>
    <x v="0"/>
    <d v="2021-05-12T00:00:00"/>
    <s v="Married"/>
    <x v="3"/>
    <x v="3"/>
    <n v="4.5"/>
    <x v="3"/>
    <x v="3"/>
  </r>
  <r>
    <x v="0"/>
    <m/>
    <n v="118694"/>
    <s v="Sallie Carpenter"/>
    <d v="2023-12-05T00:00:00"/>
    <m/>
    <x v="1"/>
    <x v="1"/>
    <x v="0"/>
    <d v="2022-01-20T00:00:00"/>
    <s v="Single"/>
    <x v="3"/>
    <x v="3"/>
    <n v="3.5"/>
    <x v="3"/>
    <x v="3"/>
  </r>
  <r>
    <x v="0"/>
    <m/>
    <n v="195849"/>
    <s v="Allen Walters"/>
    <d v="2023-12-05T00:00:00"/>
    <m/>
    <x v="1"/>
    <x v="1"/>
    <x v="1"/>
    <d v="2022-08-13T00:00:00"/>
    <s v="Single"/>
    <x v="3"/>
    <x v="3"/>
    <n v="1.5"/>
    <x v="3"/>
    <x v="3"/>
  </r>
  <r>
    <x v="0"/>
    <m/>
    <n v="182665"/>
    <s v="Flora Bass"/>
    <d v="2023-12-07T00:00:00"/>
    <m/>
    <x v="1"/>
    <x v="1"/>
    <x v="1"/>
    <d v="2022-03-02T00:00:00"/>
    <s v="Married"/>
    <x v="1"/>
    <x v="2"/>
    <n v="10.9"/>
    <x v="3"/>
    <x v="3"/>
  </r>
  <r>
    <x v="0"/>
    <m/>
    <n v="151067"/>
    <s v="Geneva Hardy"/>
    <d v="2023-12-12T00:00:00"/>
    <m/>
    <x v="2"/>
    <x v="1"/>
    <x v="1"/>
    <d v="2022-07-22T00:00:00"/>
    <s v="Married"/>
    <x v="3"/>
    <x v="5"/>
    <n v="2.8"/>
    <x v="3"/>
    <x v="3"/>
  </r>
  <r>
    <x v="0"/>
    <s v="OnRoll"/>
    <n v="188212"/>
    <s v="Roberto Harper"/>
    <d v="2023-12-14T00:00:00"/>
    <m/>
    <x v="1"/>
    <x v="1"/>
    <x v="0"/>
    <d v="2021-12-12T00:00:00"/>
    <s v="Married"/>
    <x v="1"/>
    <x v="2"/>
    <n v="7.5"/>
    <x v="3"/>
    <x v="3"/>
  </r>
  <r>
    <x v="0"/>
    <s v="OnRoll"/>
    <n v="188527"/>
    <s v="Isabella Miles"/>
    <d v="2023-12-14T00:00:00"/>
    <m/>
    <x v="1"/>
    <x v="1"/>
    <x v="1"/>
    <d v="2022-05-20T00:00:00"/>
    <s v="Single"/>
    <x v="3"/>
    <x v="3"/>
    <n v="10"/>
    <x v="3"/>
    <x v="3"/>
  </r>
  <r>
    <x v="0"/>
    <m/>
    <n v="151539"/>
    <s v="Consuelo Beck"/>
    <d v="2023-12-19T00:00:00"/>
    <m/>
    <x v="1"/>
    <x v="1"/>
    <x v="1"/>
    <d v="2022-02-21T00:00:00"/>
    <s v="Single"/>
    <x v="3"/>
    <x v="3"/>
    <n v="0"/>
    <x v="3"/>
    <x v="3"/>
  </r>
  <r>
    <x v="0"/>
    <m/>
    <n v="148895"/>
    <s v="Barney Velasquez"/>
    <d v="2023-12-28T00:00:00"/>
    <m/>
    <x v="2"/>
    <x v="1"/>
    <x v="1"/>
    <d v="2022-04-17T00:00:00"/>
    <s v="Single"/>
    <x v="3"/>
    <x v="5"/>
    <n v="0"/>
    <x v="3"/>
    <x v="3"/>
  </r>
  <r>
    <x v="0"/>
    <s v="OnRoll"/>
    <n v="114477"/>
    <s v="Jamaal Delgado"/>
    <d v="2024-01-04T00:00:00"/>
    <m/>
    <x v="1"/>
    <x v="1"/>
    <x v="0"/>
    <d v="2021-07-09T00:00:00"/>
    <s v="Single"/>
    <x v="3"/>
    <x v="3"/>
    <n v="1.6"/>
    <x v="4"/>
    <x v="3"/>
  </r>
  <r>
    <x v="0"/>
    <m/>
    <n v="170085"/>
    <s v="Glenda Ayers"/>
    <d v="2024-01-11T00:00:00"/>
    <m/>
    <x v="1"/>
    <x v="1"/>
    <x v="0"/>
    <d v="2023-08-06T00:00:00"/>
    <s v="Single"/>
    <x v="3"/>
    <x v="3"/>
    <n v="3.5"/>
    <x v="4"/>
    <x v="3"/>
  </r>
  <r>
    <x v="0"/>
    <m/>
    <n v="148355"/>
    <s v="Vonda Chandler"/>
    <d v="2024-01-11T00:00:00"/>
    <m/>
    <x v="0"/>
    <x v="1"/>
    <x v="0"/>
    <d v="2021-08-25T00:00:00"/>
    <s v="Single"/>
    <x v="3"/>
    <x v="5"/>
    <n v="14"/>
    <x v="4"/>
    <x v="3"/>
  </r>
  <r>
    <x v="0"/>
    <m/>
    <n v="132724"/>
    <s v="Elma Perkins"/>
    <d v="2024-01-23T00:00:00"/>
    <m/>
    <x v="3"/>
    <x v="1"/>
    <x v="0"/>
    <d v="2023-04-05T00:00:00"/>
    <s v="Single"/>
    <x v="3"/>
    <x v="3"/>
    <n v="0.6"/>
    <x v="4"/>
    <x v="3"/>
  </r>
  <r>
    <x v="0"/>
    <m/>
    <n v="136024"/>
    <s v="Irving Good"/>
    <d v="2024-01-23T00:00:00"/>
    <m/>
    <x v="4"/>
    <x v="1"/>
    <x v="0"/>
    <d v="2021-11-24T00:00:00"/>
    <s v="Single"/>
    <x v="2"/>
    <x v="5"/>
    <n v="14"/>
    <x v="4"/>
    <x v="3"/>
  </r>
  <r>
    <x v="0"/>
    <s v="OnRoll"/>
    <n v="186654"/>
    <s v="Carlo Stephens"/>
    <d v="2024-02-01T00:00:00"/>
    <m/>
    <x v="1"/>
    <x v="1"/>
    <x v="1"/>
    <d v="2022-05-27T00:00:00"/>
    <s v="Single"/>
    <x v="3"/>
    <x v="5"/>
    <n v="3.3"/>
    <x v="4"/>
    <x v="3"/>
  </r>
  <r>
    <x v="0"/>
    <m/>
    <n v="140505"/>
    <s v="Fermin Maddox"/>
    <d v="2024-02-01T00:00:00"/>
    <m/>
    <x v="0"/>
    <x v="1"/>
    <x v="1"/>
    <d v="2021-11-04T00:00:00"/>
    <s v="Single"/>
    <x v="3"/>
    <x v="5"/>
    <n v="13"/>
    <x v="4"/>
    <x v="3"/>
  </r>
  <r>
    <x v="0"/>
    <m/>
    <n v="166500"/>
    <s v="Wendell Bonilla"/>
    <d v="2024-02-06T00:00:00"/>
    <m/>
    <x v="1"/>
    <x v="1"/>
    <x v="1"/>
    <d v="2022-12-11T00:00:00"/>
    <s v="Single"/>
    <x v="3"/>
    <x v="2"/>
    <n v="1.5"/>
    <x v="4"/>
    <x v="3"/>
  </r>
  <r>
    <x v="0"/>
    <s v="OnRoll"/>
    <n v="196256"/>
    <s v="Hank Copeland"/>
    <d v="2024-03-15T00:00:00"/>
    <m/>
    <x v="1"/>
    <x v="1"/>
    <x v="1"/>
    <d v="2021-05-03T00:00:00"/>
    <s v="Married"/>
    <x v="3"/>
    <x v="5"/>
    <n v="3"/>
    <x v="4"/>
    <x v="3"/>
  </r>
  <r>
    <x v="0"/>
    <m/>
    <n v="107622"/>
    <s v="Luciano Arnold"/>
    <d v="2024-03-15T00:00:00"/>
    <m/>
    <x v="4"/>
    <x v="1"/>
    <x v="1"/>
    <d v="2021-04-28T00:00:00"/>
    <s v="Single"/>
    <x v="1"/>
    <x v="5"/>
    <n v="13"/>
    <x v="4"/>
    <x v="3"/>
  </r>
  <r>
    <x v="0"/>
    <m/>
    <n v="140845"/>
    <s v="Aimee Freeman"/>
    <d v="2024-03-23T00:00:00"/>
    <m/>
    <x v="2"/>
    <x v="1"/>
    <x v="0"/>
    <d v="2023-06-04T00:00:00"/>
    <s v="Single"/>
    <x v="1"/>
    <x v="5"/>
    <n v="10"/>
    <x v="4"/>
    <x v="3"/>
  </r>
  <r>
    <x v="0"/>
    <m/>
    <n v="196163"/>
    <s v="Jarrett Henson"/>
    <d v="2024-03-23T00:00:00"/>
    <m/>
    <x v="3"/>
    <x v="1"/>
    <x v="0"/>
    <d v="2022-12-16T00:00:00"/>
    <s v="Single"/>
    <x v="3"/>
    <x v="5"/>
    <n v="6.8"/>
    <x v="4"/>
    <x v="3"/>
  </r>
  <r>
    <x v="0"/>
    <m/>
    <n v="143527"/>
    <s v="Garland Barber"/>
    <d v="2024-03-23T00:00:00"/>
    <m/>
    <x v="0"/>
    <x v="1"/>
    <x v="0"/>
    <d v="2021-02-14T00:00:00"/>
    <s v="Married"/>
    <x v="2"/>
    <x v="3"/>
    <n v="7"/>
    <x v="4"/>
    <x v="3"/>
  </r>
  <r>
    <x v="0"/>
    <m/>
    <n v="121781"/>
    <s v="Filiberto Baird"/>
    <d v="2024-03-23T00:00:00"/>
    <m/>
    <x v="0"/>
    <x v="1"/>
    <x v="0"/>
    <d v="2021-03-11T00:00:00"/>
    <s v="Single"/>
    <x v="2"/>
    <x v="3"/>
    <n v="13"/>
    <x v="4"/>
    <x v="3"/>
  </r>
  <r>
    <x v="0"/>
    <s v="OnRoll"/>
    <n v="190716"/>
    <s v="Reed Pena"/>
    <d v="2024-04-03T00:00:00"/>
    <m/>
    <x v="2"/>
    <x v="1"/>
    <x v="1"/>
    <d v="2021-06-15T00:00:00"/>
    <s v="Married"/>
    <x v="3"/>
    <x v="3"/>
    <n v="4"/>
    <x v="4"/>
    <x v="3"/>
  </r>
  <r>
    <x v="0"/>
    <m/>
    <n v="131453"/>
    <s v="Cecile Garner"/>
    <d v="2024-04-03T00:00:00"/>
    <m/>
    <x v="4"/>
    <x v="1"/>
    <x v="0"/>
    <d v="2023-01-14T00:00:00"/>
    <s v="Single"/>
    <x v="3"/>
    <x v="0"/>
    <n v="8"/>
    <x v="4"/>
    <x v="3"/>
  </r>
  <r>
    <x v="0"/>
    <m/>
    <n v="133611"/>
    <s v="Art Kim"/>
    <d v="2024-04-19T00:00:00"/>
    <m/>
    <x v="4"/>
    <x v="1"/>
    <x v="1"/>
    <d v="1999-05-20T00:00:00"/>
    <s v="Single"/>
    <x v="3"/>
    <x v="6"/>
    <n v="0"/>
    <x v="4"/>
    <x v="3"/>
  </r>
  <r>
    <x v="0"/>
    <m/>
    <n v="158773"/>
    <s v="Grover Kramer"/>
    <d v="2024-05-15T00:00:00"/>
    <m/>
    <x v="2"/>
    <x v="1"/>
    <x v="0"/>
    <d v="2023-05-27T00:00:00"/>
    <s v="Single"/>
    <x v="3"/>
    <x v="3"/>
    <n v="3"/>
    <x v="4"/>
    <x v="3"/>
  </r>
  <r>
    <x v="0"/>
    <m/>
    <n v="109333"/>
    <s v="Milan Pope"/>
    <d v="2024-05-22T00:00:00"/>
    <m/>
    <x v="1"/>
    <x v="1"/>
    <x v="0"/>
    <d v="2023-08-04T00:00:00"/>
    <s v="Married"/>
    <x v="1"/>
    <x v="2"/>
    <n v="10"/>
    <x v="4"/>
    <x v="3"/>
  </r>
  <r>
    <x v="0"/>
    <m/>
    <n v="165233"/>
    <s v="Randal Mata"/>
    <d v="2024-06-12T00:00:00"/>
    <m/>
    <x v="1"/>
    <x v="1"/>
    <x v="0"/>
    <d v="2023-04-06T00:00:00"/>
    <s v="Single"/>
    <x v="3"/>
    <x v="3"/>
    <n v="1.2"/>
    <x v="4"/>
    <x v="3"/>
  </r>
  <r>
    <x v="0"/>
    <s v="OnRoll"/>
    <n v="103360"/>
    <s v="Pete Arroyo"/>
    <d v="2024-10-04T00:00:00"/>
    <m/>
    <x v="1"/>
    <x v="1"/>
    <x v="1"/>
    <d v="2001-04-01T00:00:00"/>
    <s v="Single"/>
    <x v="3"/>
    <x v="5"/>
    <n v="0.11"/>
    <x v="4"/>
    <x v="3"/>
  </r>
  <r>
    <x v="0"/>
    <m/>
    <n v="168841"/>
    <s v="Jefferson Perry"/>
    <d v="2024-10-04T00:00:00"/>
    <m/>
    <x v="1"/>
    <x v="1"/>
    <x v="0"/>
    <d v="1982-01-03T00:00:00"/>
    <s v="Married"/>
    <x v="2"/>
    <x v="6"/>
    <n v="19"/>
    <x v="4"/>
    <x v="3"/>
  </r>
  <r>
    <x v="1"/>
    <m/>
    <n v="123680"/>
    <s v="Luna Sanders"/>
    <d v="2025-01-01T00:00:00"/>
    <m/>
    <x v="6"/>
    <x v="1"/>
    <x v="1"/>
    <d v="2021-01-15T00:00:00"/>
    <s v="Single"/>
    <x v="3"/>
    <x v="0"/>
    <n v="0"/>
    <x v="5"/>
    <x v="4"/>
  </r>
  <r>
    <x v="0"/>
    <m/>
    <n v="136555"/>
    <s v="Santos Mooney"/>
    <d v="2025-01-05T00:00:00"/>
    <m/>
    <x v="6"/>
    <x v="1"/>
    <x v="0"/>
    <d v="2021-10-03T00:00:00"/>
    <s v="Married"/>
    <x v="2"/>
    <x v="1"/>
    <n v="5"/>
    <x v="5"/>
    <x v="4"/>
  </r>
  <r>
    <x v="0"/>
    <m/>
    <n v="109886"/>
    <s v="Theodore Dinh"/>
    <d v="2025-01-07T00:00:00"/>
    <m/>
    <x v="6"/>
    <x v="1"/>
    <x v="1"/>
    <d v="2021-12-10T00:00:00"/>
    <s v="Married"/>
    <x v="2"/>
    <x v="0"/>
    <n v="14"/>
    <x v="5"/>
    <x v="4"/>
  </r>
  <r>
    <x v="0"/>
    <m/>
    <n v="135596"/>
    <s v="Austin Vo"/>
    <d v="2025-01-14T00:00:00"/>
    <m/>
    <x v="2"/>
    <x v="1"/>
    <x v="0"/>
    <d v="2021-03-14T00:00:00"/>
    <s v="Single"/>
    <x v="1"/>
    <x v="0"/>
    <n v="0"/>
    <x v="5"/>
    <x v="4"/>
  </r>
  <r>
    <x v="0"/>
    <m/>
    <n v="102045"/>
    <s v="Jermaine Benitez"/>
    <d v="2025-03-04T00:00:00"/>
    <m/>
    <x v="1"/>
    <x v="1"/>
    <x v="1"/>
    <d v="2021-01-20T00:00:00"/>
    <s v="Single"/>
    <x v="2"/>
    <x v="1"/>
    <n v="17"/>
    <x v="5"/>
    <x v="4"/>
  </r>
  <r>
    <x v="0"/>
    <m/>
    <n v="137966"/>
    <s v="Joshua Gupta"/>
    <d v="2025-07-14T00:00:00"/>
    <m/>
    <x v="1"/>
    <x v="1"/>
    <x v="0"/>
    <d v="2021-11-07T00:00:00"/>
    <s v="Married"/>
    <x v="1"/>
    <x v="0"/>
    <n v="9"/>
    <x v="5"/>
    <x v="4"/>
  </r>
  <r>
    <x v="0"/>
    <m/>
    <n v="146341"/>
    <s v="Dave Armstrong"/>
    <d v="2025-07-19T00:00:00"/>
    <m/>
    <x v="1"/>
    <x v="1"/>
    <x v="1"/>
    <d v="2021-01-24T00:00:00"/>
    <s v="Married"/>
    <x v="1"/>
    <x v="0"/>
    <n v="13"/>
    <x v="5"/>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6D0B9B-5528-47F5-9A7B-4C749ABBF1F6}" name="PivotTable4" cacheId="11" applyNumberFormats="0" applyBorderFormats="0" applyFontFormats="0" applyPatternFormats="0" applyAlignmentFormats="0" applyWidthHeightFormats="1" dataCaption="Values" grandTotalCaption="Total" updatedVersion="8" minRefreshableVersion="3" itemPrintTitles="1" createdVersion="8" indent="0" compact="0" compactData="0" multipleFieldFilters="0">
  <location ref="S3:T11" firstHeaderRow="1" firstDataRow="1" firstDataCol="1" rowPageCount="1" colPageCount="1"/>
  <pivotFields count="16">
    <pivotField axis="axisPage" compact="0" outline="0" showAll="0">
      <items count="4">
        <item h="1" x="1"/>
        <item x="0"/>
        <item h="1" x="2"/>
        <item t="default"/>
      </items>
    </pivotField>
    <pivotField compact="0" outline="0" showAll="0"/>
    <pivotField compact="0" outline="0" showAll="0"/>
    <pivotField dataField="1" compact="0" outline="0" showAll="0"/>
    <pivotField compact="0" numFmtId="164" outline="0" showAll="0"/>
    <pivotField compact="0" outline="0" showAll="0"/>
    <pivotField compact="0" outline="0" showAll="0">
      <items count="8">
        <item x="5"/>
        <item x="2"/>
        <item x="3"/>
        <item x="4"/>
        <item x="6"/>
        <item x="0"/>
        <item x="1"/>
        <item t="default"/>
      </items>
    </pivotField>
    <pivotField compact="0" outline="0" showAll="0"/>
    <pivotField compact="0" outline="0" showAll="0"/>
    <pivotField compact="0" numFmtId="165" outline="0" showAll="0"/>
    <pivotField compact="0" outline="0" showAll="0"/>
    <pivotField compact="0" outline="0" showAll="0"/>
    <pivotField axis="axisRow" compact="0" outline="0" showAll="0">
      <items count="8">
        <item x="1"/>
        <item x="4"/>
        <item x="5"/>
        <item x="2"/>
        <item x="3"/>
        <item x="0"/>
        <item x="6"/>
        <item t="default"/>
      </items>
    </pivotField>
    <pivotField compact="0" outline="0" showAll="0"/>
    <pivotField compact="0" outline="0" showAll="0"/>
    <pivotField compact="0" outline="0" showAll="0"/>
  </pivotFields>
  <rowFields count="1">
    <field x="12"/>
  </rowFields>
  <rowItems count="8">
    <i>
      <x/>
    </i>
    <i>
      <x v="1"/>
    </i>
    <i>
      <x v="2"/>
    </i>
    <i>
      <x v="3"/>
    </i>
    <i>
      <x v="4"/>
    </i>
    <i>
      <x v="5"/>
    </i>
    <i>
      <x v="6"/>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83E8D4-4215-45C6-AF40-E5BDADF5BD0C}" name="PivotTable5" cacheId="11" applyNumberFormats="0" applyBorderFormats="0" applyFontFormats="0" applyPatternFormats="0" applyAlignmentFormats="0" applyWidthHeightFormats="1" dataCaption="Values" grandTotalCaption="Total" updatedVersion="8" minRefreshableVersion="3" itemPrintTitles="1" createdVersion="8" indent="0" compact="0" compactData="0" multipleFieldFilters="0">
  <location ref="W3:X11" firstHeaderRow="1" firstDataRow="1" firstDataCol="1" rowPageCount="1" colPageCount="1"/>
  <pivotFields count="16">
    <pivotField axis="axisPage" compact="0" outline="0" showAll="0">
      <items count="4">
        <item h="1" x="1"/>
        <item x="0"/>
        <item h="1" x="2"/>
        <item t="default"/>
      </items>
    </pivotField>
    <pivotField compact="0" outline="0" showAll="0"/>
    <pivotField compact="0" outline="0" showAll="0"/>
    <pivotField dataField="1" compact="0" outline="0" showAll="0"/>
    <pivotField compact="0" numFmtId="164" outline="0" showAll="0"/>
    <pivotField compact="0" outline="0" showAll="0"/>
    <pivotField axis="axisRow" compact="0" outline="0" showAll="0" sortType="descending">
      <items count="8">
        <item x="5"/>
        <item x="2"/>
        <item x="3"/>
        <item x="4"/>
        <item x="6"/>
        <item x="0"/>
        <item x="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numFmtId="165" outline="0" showAll="0"/>
    <pivotField compact="0" outline="0" showAll="0"/>
    <pivotField compact="0" outline="0" showAll="0"/>
    <pivotField compact="0" outline="0" showAll="0">
      <items count="8">
        <item x="1"/>
        <item x="4"/>
        <item x="5"/>
        <item x="2"/>
        <item x="3"/>
        <item x="0"/>
        <item x="6"/>
        <item t="default"/>
      </items>
    </pivotField>
    <pivotField compact="0" outline="0" showAll="0"/>
    <pivotField compact="0" outline="0" showAll="0"/>
    <pivotField compact="0" outline="0" showAll="0"/>
  </pivotFields>
  <rowFields count="1">
    <field x="6"/>
  </rowFields>
  <rowItems count="8">
    <i>
      <x v="6"/>
    </i>
    <i>
      <x v="3"/>
    </i>
    <i>
      <x v="5"/>
    </i>
    <i>
      <x/>
    </i>
    <i>
      <x v="1"/>
    </i>
    <i>
      <x v="4"/>
    </i>
    <i>
      <x v="2"/>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1B85E3-97B3-4869-B6AA-92E065B0E795}" name="PivotTable6" cacheId="11" applyNumberFormats="0" applyBorderFormats="0" applyFontFormats="0" applyPatternFormats="0" applyAlignmentFormats="0" applyWidthHeightFormats="1" dataCaption="Values" grandTotalCaption="Total" updatedVersion="8" minRefreshableVersion="3" itemPrintTitles="1" createdVersion="8" indent="0" compact="0" compactData="0" multipleFieldFilters="0">
  <location ref="Z3:AA6" firstHeaderRow="1" firstDataRow="1" firstDataCol="1" rowPageCount="1" colPageCount="1"/>
  <pivotFields count="16">
    <pivotField axis="axisPage" compact="0" outline="0" showAll="0">
      <items count="4">
        <item h="1" x="1"/>
        <item x="0"/>
        <item h="1" x="2"/>
        <item t="default"/>
      </items>
    </pivotField>
    <pivotField compact="0" outline="0" showAll="0"/>
    <pivotField compact="0" outline="0" showAll="0"/>
    <pivotField dataField="1" compact="0" outline="0" showAll="0"/>
    <pivotField compact="0" numFmtId="164" outline="0" showAll="0"/>
    <pivotField compact="0" outline="0" showAll="0"/>
    <pivotField compact="0" outline="0" showAll="0">
      <items count="8">
        <item x="5"/>
        <item x="2"/>
        <item x="3"/>
        <item x="4"/>
        <item x="6"/>
        <item x="0"/>
        <item x="1"/>
        <item t="default"/>
      </items>
    </pivotField>
    <pivotField axis="axisRow" compact="0" outline="0" showAll="0">
      <items count="3">
        <item x="0"/>
        <item x="1"/>
        <item t="default"/>
      </items>
    </pivotField>
    <pivotField compact="0" outline="0" showAll="0"/>
    <pivotField compact="0" numFmtId="165" outline="0" showAll="0"/>
    <pivotField compact="0" outline="0" showAll="0"/>
    <pivotField compact="0" outline="0" showAll="0"/>
    <pivotField compact="0" outline="0" showAll="0">
      <items count="8">
        <item x="1"/>
        <item x="4"/>
        <item x="5"/>
        <item x="2"/>
        <item x="3"/>
        <item x="0"/>
        <item x="6"/>
        <item t="default"/>
      </items>
    </pivotField>
    <pivotField compact="0" outline="0" showAll="0"/>
    <pivotField compact="0" outline="0" showAll="0"/>
    <pivotField compact="0" outline="0" showAll="0"/>
  </pivotFields>
  <rowFields count="1">
    <field x="7"/>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0E6AEF-54F1-4D15-9E24-D2C1CB6684EE}" name="PivotTable8" cacheId="11" applyNumberFormats="0" applyBorderFormats="0" applyFontFormats="0" applyPatternFormats="0" applyAlignmentFormats="0" applyWidthHeightFormats="1" dataCaption="Values" grandTotalCaption="Total" updatedVersion="8" minRefreshableVersion="3" itemPrintTitles="1" createdVersion="8" indent="0" compact="0" compactData="0" multipleFieldFilters="0">
  <location ref="AD3:AE9" firstHeaderRow="1" firstDataRow="1" firstDataCol="1" rowPageCount="1" colPageCount="1"/>
  <pivotFields count="16">
    <pivotField axis="axisPage" compact="0" outline="0" showAll="0">
      <items count="4">
        <item h="1" x="1"/>
        <item x="0"/>
        <item h="1" x="2"/>
        <item t="default"/>
      </items>
    </pivotField>
    <pivotField compact="0" outline="0" showAll="0"/>
    <pivotField compact="0" outline="0" showAll="0"/>
    <pivotField dataField="1" compact="0" outline="0" showAll="0"/>
    <pivotField compact="0" numFmtId="164" outline="0" showAll="0"/>
    <pivotField compact="0" outline="0" showAll="0"/>
    <pivotField compact="0" outline="0" showAll="0">
      <items count="8">
        <item x="5"/>
        <item x="2"/>
        <item x="3"/>
        <item x="4"/>
        <item x="6"/>
        <item x="0"/>
        <item x="1"/>
        <item t="default"/>
      </items>
    </pivotField>
    <pivotField compact="0" outline="0" showAll="0"/>
    <pivotField compact="0" outline="0" showAll="0"/>
    <pivotField compact="0" numFmtId="165" outline="0" showAll="0"/>
    <pivotField compact="0" outline="0" showAll="0"/>
    <pivotField compact="0" outline="0" showAll="0"/>
    <pivotField compact="0" outline="0" showAll="0">
      <items count="8">
        <item x="1"/>
        <item x="4"/>
        <item x="5"/>
        <item x="2"/>
        <item x="3"/>
        <item x="0"/>
        <item x="6"/>
        <item t="default"/>
      </items>
    </pivotField>
    <pivotField compact="0" outline="0" showAll="0"/>
    <pivotField compact="0" outline="0" showAll="0"/>
    <pivotField axis="axisRow" compact="0" outline="0" showAll="0" sortType="descending">
      <items count="6">
        <item x="4"/>
        <item x="3"/>
        <item x="2"/>
        <item x="1"/>
        <item x="0"/>
        <item t="default"/>
      </items>
      <autoSortScope>
        <pivotArea dataOnly="0" outline="0" fieldPosition="0">
          <references count="1">
            <reference field="4294967294" count="1" selected="0">
              <x v="0"/>
            </reference>
          </references>
        </pivotArea>
      </autoSortScope>
    </pivotField>
  </pivotFields>
  <rowFields count="1">
    <field x="15"/>
  </rowFields>
  <rowItems count="6">
    <i>
      <x v="1"/>
    </i>
    <i>
      <x v="4"/>
    </i>
    <i>
      <x v="3"/>
    </i>
    <i>
      <x v="2"/>
    </i>
    <i>
      <x/>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62B097D-0211-41A7-BF06-EDD8BD8497F7}" name="PivotTable1" cacheId="11" applyNumberFormats="0" applyBorderFormats="0" applyFontFormats="0" applyPatternFormats="0" applyAlignmentFormats="0" applyWidthHeightFormats="1" dataCaption="Values" grandTotalCaption="Total" updatedVersion="8" minRefreshableVersion="3" itemPrintTitles="1" createdVersion="8" indent="0" compact="0" compactData="0" multipleFieldFilters="0">
  <location ref="E3:I11" firstHeaderRow="1" firstDataRow="2" firstDataCol="1"/>
  <pivotFields count="16">
    <pivotField axis="axisCol" compact="0" outline="0" showAll="0">
      <items count="4">
        <item x="1"/>
        <item x="0"/>
        <item x="2"/>
        <item t="default"/>
      </items>
    </pivotField>
    <pivotField compact="0" outline="0" showAll="0"/>
    <pivotField compact="0" outline="0" showAll="0"/>
    <pivotField dataField="1" compact="0" outline="0" showAll="0"/>
    <pivotField compact="0" numFmtId="164" outline="0" showAll="0"/>
    <pivotField compact="0" outline="0" showAll="0"/>
    <pivotField compact="0" outline="0" showAll="0">
      <items count="8">
        <item x="5"/>
        <item x="2"/>
        <item x="3"/>
        <item x="4"/>
        <item x="6"/>
        <item x="0"/>
        <item x="1"/>
        <item t="default"/>
      </items>
    </pivotField>
    <pivotField compact="0" outline="0" showAll="0"/>
    <pivotField compact="0" outline="0" showAll="0"/>
    <pivotField compact="0" numFmtId="165" outline="0" showAll="0"/>
    <pivotField compact="0" outline="0" showAll="0"/>
    <pivotField compact="0" outline="0" showAll="0"/>
    <pivotField compact="0" outline="0" showAll="0">
      <items count="8">
        <item x="1"/>
        <item x="4"/>
        <item x="5"/>
        <item x="2"/>
        <item x="3"/>
        <item x="0"/>
        <item x="6"/>
        <item t="default"/>
      </items>
    </pivotField>
    <pivotField compact="0" outline="0" showAll="0"/>
    <pivotField axis="axisRow" compact="0" outline="0" showAll="0">
      <items count="7">
        <item x="0"/>
        <item x="1"/>
        <item x="2"/>
        <item x="3"/>
        <item x="4"/>
        <item x="5"/>
        <item t="default"/>
      </items>
    </pivotField>
    <pivotField compact="0" outline="0" showAll="0"/>
  </pivotFields>
  <rowFields count="1">
    <field x="14"/>
  </rowFields>
  <rowItems count="7">
    <i>
      <x/>
    </i>
    <i>
      <x v="1"/>
    </i>
    <i>
      <x v="2"/>
    </i>
    <i>
      <x v="3"/>
    </i>
    <i>
      <x v="4"/>
    </i>
    <i>
      <x v="5"/>
    </i>
    <i t="grand">
      <x/>
    </i>
  </rowItems>
  <colFields count="1">
    <field x="0"/>
  </colFields>
  <colItems count="4">
    <i>
      <x/>
    </i>
    <i>
      <x v="1"/>
    </i>
    <i>
      <x v="2"/>
    </i>
    <i t="grand">
      <x/>
    </i>
  </colItem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67C87E1-3401-4404-B12E-A111E9365E34}" name="PivotTable3" cacheId="11" applyNumberFormats="0" applyBorderFormats="0" applyFontFormats="0" applyPatternFormats="0" applyAlignmentFormats="0" applyWidthHeightFormats="1" dataCaption="Values" grandTotalCaption="Total" updatedVersion="8" minRefreshableVersion="3" itemPrintTitles="1" createdVersion="8" indent="0" compact="0" compactData="0" multipleFieldFilters="0">
  <location ref="O3:P8" firstHeaderRow="1" firstDataRow="1" firstDataCol="1" rowPageCount="1" colPageCount="1"/>
  <pivotFields count="16">
    <pivotField axis="axisPage" compact="0" outline="0" showAll="0">
      <items count="4">
        <item h="1" x="1"/>
        <item x="0"/>
        <item h="1" x="2"/>
        <item t="default"/>
      </items>
    </pivotField>
    <pivotField compact="0" outline="0" showAll="0"/>
    <pivotField compact="0" outline="0" showAll="0"/>
    <pivotField dataField="1" compact="0" outline="0" showAll="0"/>
    <pivotField compact="0" numFmtId="164" outline="0" showAll="0"/>
    <pivotField compact="0" outline="0" showAll="0"/>
    <pivotField compact="0" outline="0" showAll="0">
      <items count="8">
        <item x="5"/>
        <item x="2"/>
        <item x="3"/>
        <item x="4"/>
        <item x="6"/>
        <item x="0"/>
        <item x="1"/>
        <item t="default"/>
      </items>
    </pivotField>
    <pivotField compact="0" outline="0" showAll="0"/>
    <pivotField compact="0" outline="0" showAll="0"/>
    <pivotField compact="0" numFmtId="165" outline="0" showAll="0"/>
    <pivotField compact="0" outline="0" showAll="0"/>
    <pivotField axis="axisRow" compact="0" outline="0" showAll="0" sortType="descending">
      <items count="5">
        <item x="0"/>
        <item x="2"/>
        <item x="3"/>
        <item x="1"/>
        <item t="default"/>
      </items>
      <autoSortScope>
        <pivotArea dataOnly="0" outline="0" fieldPosition="0">
          <references count="1">
            <reference field="4294967294" count="1" selected="0">
              <x v="0"/>
            </reference>
          </references>
        </pivotArea>
      </autoSortScope>
    </pivotField>
    <pivotField compact="0" outline="0" showAll="0">
      <items count="8">
        <item x="1"/>
        <item x="4"/>
        <item x="5"/>
        <item x="2"/>
        <item x="3"/>
        <item x="0"/>
        <item x="6"/>
        <item t="default"/>
      </items>
    </pivotField>
    <pivotField compact="0" outline="0" showAll="0"/>
    <pivotField compact="0" outline="0" showAll="0"/>
    <pivotField compact="0" outline="0" showAll="0"/>
  </pivotFields>
  <rowFields count="1">
    <field x="11"/>
  </rowFields>
  <rowItems count="5">
    <i>
      <x v="2"/>
    </i>
    <i>
      <x v="3"/>
    </i>
    <i>
      <x v="1"/>
    </i>
    <i>
      <x/>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0BF2A6A-A113-4456-A6EA-F2A66CF8C8B9}" name="PivotTable2" cacheId="11" applyNumberFormats="0" applyBorderFormats="0" applyFontFormats="0" applyPatternFormats="0" applyAlignmentFormats="0" applyWidthHeightFormats="1" dataCaption="Values" grandTotalCaption="Total" updatedVersion="8" minRefreshableVersion="3" itemPrintTitles="1" createdVersion="8" indent="0" compact="0" compactData="0" multipleFieldFilters="0" chartFormat="1">
  <location ref="K3:L6" firstHeaderRow="1" firstDataRow="1" firstDataCol="1" rowPageCount="1" colPageCount="1"/>
  <pivotFields count="16">
    <pivotField axis="axisPage" compact="0" outline="0" showAll="0">
      <items count="4">
        <item h="1" x="1"/>
        <item x="0"/>
        <item h="1" x="2"/>
        <item t="default"/>
      </items>
    </pivotField>
    <pivotField compact="0" outline="0" showAll="0"/>
    <pivotField compact="0" outline="0" showAll="0"/>
    <pivotField dataField="1" compact="0" outline="0" showAll="0"/>
    <pivotField compact="0" numFmtId="164" outline="0" showAll="0"/>
    <pivotField compact="0" outline="0" showAll="0"/>
    <pivotField compact="0" outline="0" showAll="0">
      <items count="8">
        <item x="5"/>
        <item x="2"/>
        <item x="3"/>
        <item x="4"/>
        <item x="6"/>
        <item x="0"/>
        <item x="1"/>
        <item t="default"/>
      </items>
    </pivotField>
    <pivotField compact="0" outline="0" showAll="0"/>
    <pivotField axis="axisRow" compact="0" outline="0" showAll="0">
      <items count="3">
        <item x="1"/>
        <item x="0"/>
        <item t="default"/>
      </items>
    </pivotField>
    <pivotField compact="0" numFmtId="165" outline="0" showAll="0"/>
    <pivotField compact="0" outline="0" showAll="0"/>
    <pivotField compact="0" outline="0" showAll="0"/>
    <pivotField compact="0" outline="0" showAll="0">
      <items count="8">
        <item x="1"/>
        <item x="4"/>
        <item x="5"/>
        <item x="2"/>
        <item x="3"/>
        <item x="0"/>
        <item x="6"/>
        <item t="default"/>
      </items>
    </pivotField>
    <pivotField compact="0" outline="0" showAll="0"/>
    <pivotField compact="0" outline="0" showAll="0"/>
    <pivotField compact="0" outline="0" showAll="0"/>
  </pivotFields>
  <rowFields count="1">
    <field x="8"/>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Manager" xr10:uid="{71DD2DD7-0ABD-42F9-957E-41B73FC26E41}" sourceName="Reporting Manager">
  <pivotTables>
    <pivotTable tabId="2" name="PivotTable1"/>
    <pivotTable tabId="2" name="PivotTable2"/>
    <pivotTable tabId="2" name="PivotTable3"/>
    <pivotTable tabId="2" name="PivotTable4"/>
    <pivotTable tabId="2" name="PivotTable5"/>
    <pivotTable tabId="2" name="PivotTable6"/>
    <pivotTable tabId="2" name="PivotTable8"/>
  </pivotTables>
  <data>
    <tabular pivotCacheId="1463709613">
      <items count="7">
        <i x="5" s="1"/>
        <i x="2" s="1"/>
        <i x="3" s="1"/>
        <i x="4" s="1"/>
        <i x="6"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4B107B8-65BC-47D7-9BB4-3ED3D8993392}" sourceName="Department">
  <pivotTables>
    <pivotTable tabId="2" name="PivotTable1"/>
    <pivotTable tabId="2" name="PivotTable2"/>
    <pivotTable tabId="2" name="PivotTable3"/>
    <pivotTable tabId="2" name="PivotTable4"/>
    <pivotTable tabId="2" name="PivotTable5"/>
    <pivotTable tabId="2" name="PivotTable6"/>
    <pivotTable tabId="2" name="PivotTable8"/>
  </pivotTables>
  <data>
    <tabular pivotCacheId="1463709613">
      <items count="7">
        <i x="1" s="1"/>
        <i x="4" s="1"/>
        <i x="5" s="1"/>
        <i x="2" s="1"/>
        <i x="3" s="1"/>
        <i x="0"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orting Manager" xr10:uid="{D5BEC8C5-2378-4317-8463-8CF8BAD35A1F}" cache="Slicer_Reporting_Manager" caption="Reporting Manager" style="SlicerStyleDark1" rowHeight="257175"/>
  <slicer name="Department" xr10:uid="{25A335B5-2F8F-41A7-BC2F-19B4D9ECA637}" cache="Slicer_Department" caption="Department"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F5476D-495C-4A3A-BB5D-CF8F959FE902}" name="Table2" displayName="Table2" ref="A1:P172" totalsRowShown="0" headerRowDxfId="19" headerRowBorderDxfId="18" tableBorderDxfId="17" totalsRowBorderDxfId="16">
  <autoFilter ref="A1:P172" xr:uid="{69F5476D-495C-4A3A-BB5D-CF8F959FE902}"/>
  <sortState xmlns:xlrd2="http://schemas.microsoft.com/office/spreadsheetml/2017/richdata2" ref="A2:P172">
    <sortCondition ref="H2:H172"/>
  </sortState>
  <tableColumns count="16">
    <tableColumn id="38" xr3:uid="{87B0625C-2963-4A3A-8454-6CE23AC5A7E0}" name="Emp Status" dataDxfId="15"/>
    <tableColumn id="33" xr3:uid="{549A3582-7299-4BC0-98BC-BFE4A799412E}" name="Movement" dataDxfId="14"/>
    <tableColumn id="16" xr3:uid="{623ABE19-A1BB-497C-955E-445B016AD4C3}" name="Emp Id" dataDxfId="13"/>
    <tableColumn id="17" xr3:uid="{F1BEDDA3-4194-4C1B-AEC6-DD3D17C0AF5E}" name="Name" dataDxfId="12"/>
    <tableColumn id="18" xr3:uid="{40167B1E-1D33-41BC-9CDC-05C0624B4800}" name="Date of Joining" dataDxfId="11"/>
    <tableColumn id="39" xr3:uid="{C86505F9-7D4D-4CDF-A2A5-6475E7361026}" name="Data of Relieving" dataDxfId="10"/>
    <tableColumn id="4" xr3:uid="{D4659B5E-63C6-42E6-823F-59DD13C7EBDE}" name="Reporting Manager" dataDxfId="9"/>
    <tableColumn id="19" xr3:uid="{374572AC-5A05-4113-8D02-2AD5BE9FBEDD}" name="Emp Type" dataDxfId="8"/>
    <tableColumn id="20" xr3:uid="{71EF4DD4-2EE1-48E2-8A6E-3E5207C31659}" name="Category" dataDxfId="7"/>
    <tableColumn id="21" xr3:uid="{075A6894-0B48-4450-9C7C-CF8ED4D5D2C8}" name="Date of Birth" dataDxfId="6"/>
    <tableColumn id="22" xr3:uid="{6D9F7490-E077-48EB-9103-4457925E06D7}" name="Marital status" dataDxfId="5"/>
    <tableColumn id="1" xr3:uid="{5FADB1AD-9B91-48DA-A243-16DC9E49FCCF}" name="Grade" dataDxfId="4"/>
    <tableColumn id="2" xr3:uid="{924FF48E-6E59-4C5D-BB67-03CEB785AF15}" name="Department" dataDxfId="3"/>
    <tableColumn id="30" xr3:uid="{0E004753-8E8B-4551-B080-E1A287121E8A}" name="Total Experience" dataDxfId="2"/>
    <tableColumn id="8" xr3:uid="{D34FC480-00ED-444C-82CF-1060600113A1}" name="Year" dataDxfId="1">
      <calculatedColumnFormula>YEAR(Table2[[#This Row],[Date of Joining]])</calculatedColumnFormula>
    </tableColumn>
    <tableColumn id="10" xr3:uid="{76775B67-06F2-40D3-BCFE-EA2A41C4B4CD}" name="Stability" dataDxfId="0">
      <calculatedColumnFormula>IF(DATEDIF(E2,TODAY(),"Y")&gt;=5,"5+ years",
IF(DATEDIF(E2,TODAY(),"Y")&gt;=4,"4+ years",
IF(DATEDIF(E2,TODAY(),"Y")&gt;=3,"3+ years",
IF(DATEDIF(E2,TODAY(),"Y")&gt;=2,"2+ years",
IF(DATEDIF(E2,TODAY(),"Y")&gt;=1,"1+ years","&lt;1 year")))))</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hyperlink" Target="mailto:vijay.patil@otis.com" TargetMode="External"/><Relationship Id="rId2" Type="http://schemas.openxmlformats.org/officeDocument/2006/relationships/hyperlink" Target="mailto:Ishwarya.S@otis.com" TargetMode="External"/><Relationship Id="rId1" Type="http://schemas.openxmlformats.org/officeDocument/2006/relationships/hyperlink" Target="mailto:Prashantha.S@otis.com"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7A6FA-CF40-4286-8ABB-C30526365197}">
  <sheetPr codeName="Sheet1">
    <tabColor theme="7" tint="0.39997558519241921"/>
  </sheetPr>
  <dimension ref="B1"/>
  <sheetViews>
    <sheetView showGridLines="0" tabSelected="1" zoomScaleNormal="100" workbookViewId="0">
      <selection activeCell="V10" sqref="V10"/>
    </sheetView>
  </sheetViews>
  <sheetFormatPr defaultRowHeight="15" x14ac:dyDescent="0.25"/>
  <sheetData>
    <row r="1" spans="2:2" x14ac:dyDescent="0.25">
      <c r="B1">
        <v>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6DD46-FE2C-44DA-82E7-324646AA1D99}">
  <sheetPr codeName="Sheet2"/>
  <dimension ref="B1:AF24"/>
  <sheetViews>
    <sheetView showGridLines="0" zoomScale="80" zoomScaleNormal="80" workbookViewId="0">
      <selection activeCell="O19" sqref="O19"/>
    </sheetView>
  </sheetViews>
  <sheetFormatPr defaultRowHeight="15" x14ac:dyDescent="0.25"/>
  <cols>
    <col min="1" max="1" width="2" customWidth="1"/>
    <col min="2" max="2" width="10.42578125" bestFit="1" customWidth="1"/>
    <col min="3" max="3" width="6" bestFit="1" customWidth="1"/>
    <col min="4" max="4" width="3.28515625" customWidth="1"/>
    <col min="5" max="5" width="8" customWidth="1"/>
    <col min="6" max="6" width="8.140625" customWidth="1"/>
    <col min="7" max="7" width="9.5703125" bestFit="1" customWidth="1"/>
    <col min="8" max="8" width="8.42578125" bestFit="1" customWidth="1"/>
    <col min="9" max="9" width="11.42578125" bestFit="1" customWidth="1"/>
    <col min="10" max="10" width="3.7109375" customWidth="1"/>
    <col min="11" max="11" width="7.7109375" customWidth="1"/>
    <col min="12" max="12" width="11.140625" customWidth="1"/>
    <col min="13" max="13" width="7" customWidth="1"/>
    <col min="14" max="14" width="3.42578125" customWidth="1"/>
    <col min="15" max="15" width="11.85546875" customWidth="1"/>
    <col min="16" max="16" width="5.28515625" customWidth="1"/>
    <col min="17" max="17" width="6" customWidth="1"/>
    <col min="18" max="18" width="3.5703125" customWidth="1"/>
    <col min="19" max="19" width="11.140625" customWidth="1"/>
    <col min="20" max="20" width="4.85546875" customWidth="1"/>
    <col min="21" max="21" width="6.28515625" customWidth="1"/>
    <col min="22" max="22" width="3.42578125" customWidth="1"/>
    <col min="23" max="23" width="14.140625" customWidth="1"/>
    <col min="24" max="24" width="12.28515625" customWidth="1"/>
    <col min="25" max="25" width="2.85546875" customWidth="1"/>
    <col min="27" max="27" width="5.28515625" customWidth="1"/>
    <col min="28" max="28" width="6.5703125" customWidth="1"/>
    <col min="29" max="29" width="3.5703125" customWidth="1"/>
  </cols>
  <sheetData>
    <row r="1" spans="2:32" x14ac:dyDescent="0.25">
      <c r="K1" s="10" t="s">
        <v>0</v>
      </c>
      <c r="L1" t="s">
        <v>1</v>
      </c>
      <c r="O1" s="10" t="s">
        <v>0</v>
      </c>
      <c r="P1" t="s">
        <v>1</v>
      </c>
      <c r="S1" s="10" t="s">
        <v>0</v>
      </c>
      <c r="T1" t="s">
        <v>1</v>
      </c>
      <c r="W1" s="10" t="s">
        <v>0</v>
      </c>
      <c r="X1" t="s">
        <v>1</v>
      </c>
      <c r="Z1" s="10" t="s">
        <v>0</v>
      </c>
      <c r="AA1" t="s">
        <v>1</v>
      </c>
      <c r="AD1" s="10" t="s">
        <v>0</v>
      </c>
      <c r="AE1" t="s">
        <v>1</v>
      </c>
    </row>
    <row r="3" spans="2:32" x14ac:dyDescent="0.25">
      <c r="E3" s="10" t="s">
        <v>2</v>
      </c>
      <c r="F3" s="10" t="s">
        <v>0</v>
      </c>
      <c r="K3" s="10" t="s">
        <v>3</v>
      </c>
      <c r="L3" t="s">
        <v>2</v>
      </c>
      <c r="O3" s="10" t="s">
        <v>4</v>
      </c>
      <c r="P3" t="s">
        <v>2</v>
      </c>
      <c r="S3" s="10" t="s">
        <v>5</v>
      </c>
      <c r="T3" t="s">
        <v>2</v>
      </c>
      <c r="W3" s="10" t="s">
        <v>6</v>
      </c>
      <c r="X3" t="s">
        <v>2</v>
      </c>
      <c r="Z3" s="10" t="s">
        <v>7</v>
      </c>
      <c r="AA3" t="s">
        <v>2</v>
      </c>
      <c r="AD3" s="10" t="s">
        <v>8</v>
      </c>
      <c r="AE3" t="s">
        <v>2</v>
      </c>
    </row>
    <row r="4" spans="2:32" x14ac:dyDescent="0.25">
      <c r="E4" s="10" t="s">
        <v>9</v>
      </c>
      <c r="F4" t="s">
        <v>10</v>
      </c>
      <c r="G4" t="s">
        <v>1</v>
      </c>
      <c r="H4" t="s">
        <v>11</v>
      </c>
      <c r="I4" t="s">
        <v>12</v>
      </c>
      <c r="K4" t="s">
        <v>13</v>
      </c>
      <c r="L4" s="14">
        <v>45</v>
      </c>
      <c r="O4" t="s">
        <v>14</v>
      </c>
      <c r="P4" s="14">
        <v>43</v>
      </c>
      <c r="S4" t="s">
        <v>15</v>
      </c>
      <c r="T4" s="14">
        <v>9</v>
      </c>
      <c r="W4" t="s">
        <v>16</v>
      </c>
      <c r="X4" s="14">
        <v>42</v>
      </c>
      <c r="Z4" t="s">
        <v>17</v>
      </c>
      <c r="AA4" s="14">
        <v>13</v>
      </c>
      <c r="AD4" t="s">
        <v>18</v>
      </c>
      <c r="AE4" s="14">
        <v>37</v>
      </c>
    </row>
    <row r="5" spans="2:32" x14ac:dyDescent="0.25">
      <c r="E5">
        <v>2020</v>
      </c>
      <c r="F5" s="14">
        <v>20</v>
      </c>
      <c r="G5" s="14">
        <v>23</v>
      </c>
      <c r="H5" s="14"/>
      <c r="I5" s="14">
        <v>43</v>
      </c>
      <c r="K5" t="s">
        <v>19</v>
      </c>
      <c r="L5" s="14">
        <v>73</v>
      </c>
      <c r="O5" t="s">
        <v>20</v>
      </c>
      <c r="P5" s="14">
        <v>41</v>
      </c>
      <c r="S5" t="s">
        <v>21</v>
      </c>
      <c r="T5" s="14">
        <v>10</v>
      </c>
      <c r="W5" t="s">
        <v>22</v>
      </c>
      <c r="X5" s="14">
        <v>26</v>
      </c>
      <c r="Z5" t="s">
        <v>23</v>
      </c>
      <c r="AA5" s="14">
        <v>105</v>
      </c>
      <c r="AD5" t="s">
        <v>24</v>
      </c>
      <c r="AE5" s="14">
        <v>34</v>
      </c>
    </row>
    <row r="6" spans="2:32" x14ac:dyDescent="0.25">
      <c r="E6">
        <v>2021</v>
      </c>
      <c r="F6" s="14">
        <v>12</v>
      </c>
      <c r="G6" s="14">
        <v>12</v>
      </c>
      <c r="H6" s="14">
        <v>1</v>
      </c>
      <c r="I6" s="14">
        <v>25</v>
      </c>
      <c r="K6" t="s">
        <v>12</v>
      </c>
      <c r="L6" s="14">
        <v>118</v>
      </c>
      <c r="O6" t="s">
        <v>25</v>
      </c>
      <c r="P6" s="14">
        <v>21</v>
      </c>
      <c r="S6" t="s">
        <v>26</v>
      </c>
      <c r="T6" s="14">
        <v>25</v>
      </c>
      <c r="W6" t="s">
        <v>27</v>
      </c>
      <c r="X6" s="14">
        <v>18</v>
      </c>
      <c r="Z6" t="s">
        <v>12</v>
      </c>
      <c r="AA6" s="14">
        <v>118</v>
      </c>
      <c r="AD6" t="s">
        <v>28</v>
      </c>
      <c r="AE6" s="14">
        <v>19</v>
      </c>
    </row>
    <row r="7" spans="2:32" x14ac:dyDescent="0.25">
      <c r="E7">
        <v>2022</v>
      </c>
      <c r="F7" s="14">
        <v>10</v>
      </c>
      <c r="G7" s="14">
        <v>19</v>
      </c>
      <c r="H7" s="14">
        <v>4</v>
      </c>
      <c r="I7" s="14">
        <v>33</v>
      </c>
      <c r="O7" t="s">
        <v>17</v>
      </c>
      <c r="P7" s="14">
        <v>13</v>
      </c>
      <c r="S7" t="s">
        <v>29</v>
      </c>
      <c r="T7" s="14">
        <v>11</v>
      </c>
      <c r="W7" t="s">
        <v>30</v>
      </c>
      <c r="X7" s="14">
        <v>12</v>
      </c>
      <c r="AD7" t="s">
        <v>31</v>
      </c>
      <c r="AE7" s="14">
        <v>19</v>
      </c>
    </row>
    <row r="8" spans="2:32" x14ac:dyDescent="0.25">
      <c r="E8">
        <v>2023</v>
      </c>
      <c r="F8" s="14">
        <v>4</v>
      </c>
      <c r="G8" s="14">
        <v>30</v>
      </c>
      <c r="H8" s="14">
        <v>1</v>
      </c>
      <c r="I8" s="14">
        <v>35</v>
      </c>
      <c r="O8" t="s">
        <v>12</v>
      </c>
      <c r="P8" s="14">
        <v>118</v>
      </c>
      <c r="S8" t="s">
        <v>32</v>
      </c>
      <c r="T8" s="14">
        <v>15</v>
      </c>
      <c r="W8" t="s">
        <v>33</v>
      </c>
      <c r="X8" s="14">
        <v>9</v>
      </c>
      <c r="AD8" t="s">
        <v>34</v>
      </c>
      <c r="AE8" s="14">
        <v>9</v>
      </c>
    </row>
    <row r="9" spans="2:32" x14ac:dyDescent="0.25">
      <c r="E9">
        <v>2024</v>
      </c>
      <c r="F9" s="14"/>
      <c r="G9" s="14">
        <v>25</v>
      </c>
      <c r="H9" s="14"/>
      <c r="I9" s="14">
        <v>25</v>
      </c>
      <c r="S9" t="s">
        <v>35</v>
      </c>
      <c r="T9" s="14">
        <v>27</v>
      </c>
      <c r="W9" t="s">
        <v>36</v>
      </c>
      <c r="X9" s="14">
        <v>7</v>
      </c>
      <c r="AD9" t="s">
        <v>12</v>
      </c>
      <c r="AE9" s="14">
        <v>118</v>
      </c>
    </row>
    <row r="10" spans="2:32" x14ac:dyDescent="0.25">
      <c r="E10">
        <v>2025</v>
      </c>
      <c r="F10" s="14">
        <v>1</v>
      </c>
      <c r="G10" s="14">
        <v>9</v>
      </c>
      <c r="H10" s="14"/>
      <c r="I10" s="14">
        <v>10</v>
      </c>
      <c r="S10" t="s">
        <v>37</v>
      </c>
      <c r="T10" s="14">
        <v>21</v>
      </c>
      <c r="W10" t="s">
        <v>38</v>
      </c>
      <c r="X10" s="14">
        <v>4</v>
      </c>
    </row>
    <row r="11" spans="2:32" x14ac:dyDescent="0.25">
      <c r="E11" t="s">
        <v>12</v>
      </c>
      <c r="F11" s="14">
        <v>47</v>
      </c>
      <c r="G11" s="14">
        <v>118</v>
      </c>
      <c r="H11" s="14">
        <v>6</v>
      </c>
      <c r="I11" s="14">
        <v>171</v>
      </c>
      <c r="S11" t="s">
        <v>12</v>
      </c>
      <c r="T11" s="14">
        <v>118</v>
      </c>
      <c r="W11" t="s">
        <v>12</v>
      </c>
      <c r="X11" s="14">
        <v>118</v>
      </c>
    </row>
    <row r="16" spans="2:32" x14ac:dyDescent="0.25">
      <c r="B16" s="11" t="s">
        <v>39</v>
      </c>
      <c r="C16" s="11" t="s">
        <v>40</v>
      </c>
      <c r="E16" s="11" t="s">
        <v>9</v>
      </c>
      <c r="F16" s="11" t="s">
        <v>10</v>
      </c>
      <c r="G16" s="11" t="s">
        <v>1</v>
      </c>
      <c r="H16" s="11" t="s">
        <v>11</v>
      </c>
      <c r="I16" s="11" t="s">
        <v>12</v>
      </c>
      <c r="K16" s="11" t="s">
        <v>41</v>
      </c>
      <c r="L16" s="11" t="s">
        <v>42</v>
      </c>
      <c r="M16" s="11" t="s">
        <v>43</v>
      </c>
      <c r="O16" s="11"/>
      <c r="P16" s="11" t="s">
        <v>44</v>
      </c>
      <c r="Q16" s="11" t="s">
        <v>43</v>
      </c>
      <c r="S16" s="11" t="s">
        <v>45</v>
      </c>
      <c r="T16" s="11" t="s">
        <v>44</v>
      </c>
      <c r="U16" s="11" t="s">
        <v>43</v>
      </c>
      <c r="W16" s="11" t="s">
        <v>46</v>
      </c>
      <c r="X16" s="11" t="s">
        <v>47</v>
      </c>
      <c r="Z16" s="11" t="s">
        <v>7</v>
      </c>
      <c r="AA16" s="11" t="s">
        <v>44</v>
      </c>
      <c r="AB16" s="11" t="s">
        <v>43</v>
      </c>
      <c r="AD16" s="11" t="s">
        <v>8</v>
      </c>
      <c r="AE16" s="11" t="s">
        <v>44</v>
      </c>
      <c r="AF16" s="11" t="s">
        <v>43</v>
      </c>
    </row>
    <row r="17" spans="2:32" x14ac:dyDescent="0.25">
      <c r="B17" t="s">
        <v>48</v>
      </c>
      <c r="C17">
        <f>I11</f>
        <v>171</v>
      </c>
      <c r="E17">
        <v>2020</v>
      </c>
      <c r="F17">
        <f t="shared" ref="F17:F22" si="0">IFERROR(GETPIVOTDATA("NAME",$E$3,"Emp Status","Attrition","Year",E17),0)</f>
        <v>20</v>
      </c>
      <c r="G17">
        <f t="shared" ref="G17:G22" si="1">IFERROR(GETPIVOTDATA("NAME",$E$3,"Emp Status","On-Board","Year",E17),0)</f>
        <v>23</v>
      </c>
      <c r="H17">
        <f t="shared" ref="H17:H22" si="2">IFERROR(GETPIVOTDATA("NAME",$E$3,"Emp Status","Transfer","Year",E17),0)</f>
        <v>0</v>
      </c>
      <c r="I17">
        <f>G17</f>
        <v>23</v>
      </c>
      <c r="K17" t="s">
        <v>13</v>
      </c>
      <c r="L17">
        <f>IFERROR(GETPIVOTDATA("NAME",$K$3,"Category",K17),0)</f>
        <v>45</v>
      </c>
      <c r="M17" s="12">
        <f>L17/L19</f>
        <v>0.38135593220338981</v>
      </c>
      <c r="O17" t="s">
        <v>14</v>
      </c>
      <c r="P17">
        <f>IFERROR(GETPIVOTDATA("NAME",$O$3,"Grade",O17),0)</f>
        <v>43</v>
      </c>
      <c r="Q17" s="12">
        <f>P17/P21</f>
        <v>0.36440677966101692</v>
      </c>
      <c r="S17" t="s">
        <v>15</v>
      </c>
      <c r="T17">
        <f>IFERROR(GETPIVOTDATA("NAME",$S$3,"Department",S17),0)</f>
        <v>9</v>
      </c>
      <c r="U17" s="12">
        <f>T17/T24</f>
        <v>7.6271186440677971E-2</v>
      </c>
      <c r="W17" t="s">
        <v>16</v>
      </c>
      <c r="X17">
        <f>IFERROR(GETPIVOTDATA("NAME",$W$3,"Reporting Manager",W17),0)</f>
        <v>42</v>
      </c>
      <c r="Z17" t="s">
        <v>17</v>
      </c>
      <c r="AA17">
        <f>IFERROR(GETPIVOTDATA("NAME",$Z$3,"Emp Type",Z17),0)</f>
        <v>13</v>
      </c>
      <c r="AB17" s="12">
        <f>AA17/AA19</f>
        <v>0.11016949152542373</v>
      </c>
      <c r="AD17" t="s">
        <v>18</v>
      </c>
      <c r="AE17">
        <f>IFERROR(GETPIVOTDATA("NAME",$AD$3,"Stability",AD17),0)</f>
        <v>37</v>
      </c>
      <c r="AF17" s="12">
        <f>AE17/AE22</f>
        <v>0.3135593220338983</v>
      </c>
    </row>
    <row r="18" spans="2:32" x14ac:dyDescent="0.25">
      <c r="B18" t="s">
        <v>49</v>
      </c>
      <c r="C18">
        <f>G11</f>
        <v>118</v>
      </c>
      <c r="E18">
        <v>2021</v>
      </c>
      <c r="F18">
        <f t="shared" si="0"/>
        <v>12</v>
      </c>
      <c r="G18">
        <f t="shared" si="1"/>
        <v>12</v>
      </c>
      <c r="H18">
        <f t="shared" si="2"/>
        <v>1</v>
      </c>
      <c r="I18">
        <f>G18+I17</f>
        <v>35</v>
      </c>
      <c r="K18" t="s">
        <v>19</v>
      </c>
      <c r="L18">
        <f>IFERROR(GETPIVOTDATA("NAME",$K$3,"Category",K18),0)</f>
        <v>73</v>
      </c>
      <c r="M18" s="12">
        <f>L18/$L$19</f>
        <v>0.61864406779661019</v>
      </c>
      <c r="O18" t="s">
        <v>20</v>
      </c>
      <c r="P18">
        <f>IFERROR(GETPIVOTDATA("NAME",$O$3,"Grade",O18),0)</f>
        <v>41</v>
      </c>
      <c r="Q18" s="12">
        <f>P18/$P$21</f>
        <v>0.34745762711864409</v>
      </c>
      <c r="S18" t="s">
        <v>21</v>
      </c>
      <c r="T18">
        <f t="shared" ref="T18:T23" si="3">IFERROR(GETPIVOTDATA("NAME",$S$3,"Department",S18),0)</f>
        <v>10</v>
      </c>
      <c r="U18" s="12">
        <f t="shared" ref="U18:U23" si="4">T18/$T$24</f>
        <v>8.4745762711864403E-2</v>
      </c>
      <c r="W18" t="s">
        <v>22</v>
      </c>
      <c r="X18">
        <f t="shared" ref="X18:X23" si="5">IFERROR(GETPIVOTDATA("NAME",$W$3,"Reporting Manager",W18),0)</f>
        <v>26</v>
      </c>
      <c r="Z18" t="s">
        <v>23</v>
      </c>
      <c r="AA18">
        <f>IFERROR(GETPIVOTDATA("NAME",$Z$3,"Emp Type",Z18),0)</f>
        <v>105</v>
      </c>
      <c r="AB18" s="12">
        <f>AA18/$AA$19</f>
        <v>0.88983050847457623</v>
      </c>
      <c r="AD18" t="s">
        <v>24</v>
      </c>
      <c r="AE18">
        <f>IFERROR(GETPIVOTDATA("NAME",$AD$3,"Stability",AD18),0)</f>
        <v>34</v>
      </c>
      <c r="AF18" s="12">
        <f>AE18/$AE$22</f>
        <v>0.28813559322033899</v>
      </c>
    </row>
    <row r="19" spans="2:32" x14ac:dyDescent="0.25">
      <c r="B19" t="s">
        <v>10</v>
      </c>
      <c r="C19">
        <f>F23</f>
        <v>47</v>
      </c>
      <c r="E19">
        <v>2022</v>
      </c>
      <c r="F19">
        <f t="shared" si="0"/>
        <v>10</v>
      </c>
      <c r="G19">
        <f t="shared" si="1"/>
        <v>19</v>
      </c>
      <c r="H19">
        <f t="shared" si="2"/>
        <v>4</v>
      </c>
      <c r="I19">
        <f>G19+I18</f>
        <v>54</v>
      </c>
      <c r="K19" s="11" t="s">
        <v>12</v>
      </c>
      <c r="L19" s="11">
        <f>SUM(L17:L18)</f>
        <v>118</v>
      </c>
      <c r="M19" s="13">
        <f>L19/$L$19</f>
        <v>1</v>
      </c>
      <c r="O19" t="s">
        <v>25</v>
      </c>
      <c r="P19">
        <f>IFERROR(GETPIVOTDATA("NAME",$O$3,"Grade",O19),0)</f>
        <v>21</v>
      </c>
      <c r="Q19" s="12">
        <f>P19/$P$21</f>
        <v>0.17796610169491525</v>
      </c>
      <c r="S19" t="s">
        <v>26</v>
      </c>
      <c r="T19">
        <f t="shared" si="3"/>
        <v>25</v>
      </c>
      <c r="U19" s="12">
        <f t="shared" si="4"/>
        <v>0.21186440677966101</v>
      </c>
      <c r="W19" t="s">
        <v>27</v>
      </c>
      <c r="X19">
        <f t="shared" si="5"/>
        <v>18</v>
      </c>
      <c r="Z19" s="11" t="s">
        <v>12</v>
      </c>
      <c r="AA19" s="11">
        <f>SUM(AA17:AA18)</f>
        <v>118</v>
      </c>
      <c r="AB19" s="13">
        <f>AA19/$AA$19</f>
        <v>1</v>
      </c>
      <c r="AD19" t="s">
        <v>28</v>
      </c>
      <c r="AE19">
        <f>IFERROR(GETPIVOTDATA("NAME",$AD$3,"Stability",AD19),0)</f>
        <v>19</v>
      </c>
      <c r="AF19" s="12">
        <f>AE19/$AE$22</f>
        <v>0.16101694915254236</v>
      </c>
    </row>
    <row r="20" spans="2:32" x14ac:dyDescent="0.25">
      <c r="B20" t="s">
        <v>50</v>
      </c>
      <c r="C20" s="12">
        <f>C19/C17</f>
        <v>0.27485380116959063</v>
      </c>
      <c r="E20">
        <v>2023</v>
      </c>
      <c r="F20">
        <f t="shared" si="0"/>
        <v>4</v>
      </c>
      <c r="G20">
        <f t="shared" si="1"/>
        <v>30</v>
      </c>
      <c r="H20">
        <f t="shared" si="2"/>
        <v>1</v>
      </c>
      <c r="I20">
        <f>G20+I19</f>
        <v>84</v>
      </c>
      <c r="O20" t="s">
        <v>17</v>
      </c>
      <c r="P20">
        <f>IFERROR(GETPIVOTDATA("NAME",$O$3,"Grade",O20),0)</f>
        <v>13</v>
      </c>
      <c r="Q20" s="12">
        <f>P20/$P$21</f>
        <v>0.11016949152542373</v>
      </c>
      <c r="S20" t="s">
        <v>29</v>
      </c>
      <c r="T20">
        <f t="shared" si="3"/>
        <v>11</v>
      </c>
      <c r="U20" s="12">
        <f t="shared" si="4"/>
        <v>9.3220338983050849E-2</v>
      </c>
      <c r="W20" t="s">
        <v>30</v>
      </c>
      <c r="X20">
        <f t="shared" si="5"/>
        <v>12</v>
      </c>
      <c r="AD20" t="s">
        <v>31</v>
      </c>
      <c r="AE20">
        <f>IFERROR(GETPIVOTDATA("NAME",$AD$3,"Stability",AD20),0)</f>
        <v>19</v>
      </c>
      <c r="AF20" s="12">
        <f>AE20/$AE$22</f>
        <v>0.16101694915254236</v>
      </c>
    </row>
    <row r="21" spans="2:32" x14ac:dyDescent="0.25">
      <c r="B21" t="s">
        <v>11</v>
      </c>
      <c r="C21">
        <f>H23</f>
        <v>6</v>
      </c>
      <c r="E21">
        <v>2024</v>
      </c>
      <c r="F21">
        <f t="shared" si="0"/>
        <v>0</v>
      </c>
      <c r="G21">
        <f t="shared" si="1"/>
        <v>25</v>
      </c>
      <c r="H21">
        <f t="shared" si="2"/>
        <v>0</v>
      </c>
      <c r="I21">
        <f>G21+I20</f>
        <v>109</v>
      </c>
      <c r="O21" s="11" t="s">
        <v>12</v>
      </c>
      <c r="P21" s="11">
        <f>SUM(P17:P20)</f>
        <v>118</v>
      </c>
      <c r="Q21" s="13">
        <f>P21/$P$21</f>
        <v>1</v>
      </c>
      <c r="S21" t="s">
        <v>32</v>
      </c>
      <c r="T21">
        <f t="shared" si="3"/>
        <v>15</v>
      </c>
      <c r="U21" s="12">
        <f t="shared" si="4"/>
        <v>0.1271186440677966</v>
      </c>
      <c r="W21" t="s">
        <v>33</v>
      </c>
      <c r="X21">
        <f t="shared" si="5"/>
        <v>9</v>
      </c>
      <c r="AD21" t="s">
        <v>34</v>
      </c>
      <c r="AE21">
        <f>IFERROR(GETPIVOTDATA("NAME",$AD$3,"Stability",AD21),0)</f>
        <v>9</v>
      </c>
      <c r="AF21" s="12">
        <f>AE21/$AE$22</f>
        <v>7.6271186440677971E-2</v>
      </c>
    </row>
    <row r="22" spans="2:32" x14ac:dyDescent="0.25">
      <c r="E22">
        <v>2025</v>
      </c>
      <c r="F22">
        <f t="shared" si="0"/>
        <v>1</v>
      </c>
      <c r="G22">
        <f t="shared" si="1"/>
        <v>9</v>
      </c>
      <c r="H22">
        <f t="shared" si="2"/>
        <v>0</v>
      </c>
      <c r="I22">
        <f>G22+I21</f>
        <v>118</v>
      </c>
      <c r="P22" t="s">
        <v>51</v>
      </c>
      <c r="S22" t="s">
        <v>35</v>
      </c>
      <c r="T22">
        <f t="shared" si="3"/>
        <v>27</v>
      </c>
      <c r="U22" s="12">
        <f t="shared" si="4"/>
        <v>0.2288135593220339</v>
      </c>
      <c r="W22" t="s">
        <v>36</v>
      </c>
      <c r="X22">
        <f t="shared" si="5"/>
        <v>7</v>
      </c>
      <c r="AD22" s="11" t="s">
        <v>12</v>
      </c>
      <c r="AE22" s="11">
        <f>SUM(AE17:AE21)</f>
        <v>118</v>
      </c>
      <c r="AF22" s="13">
        <f>AE22/$AE$22</f>
        <v>1</v>
      </c>
    </row>
    <row r="23" spans="2:32" x14ac:dyDescent="0.25">
      <c r="E23" s="11" t="s">
        <v>12</v>
      </c>
      <c r="F23" s="11">
        <f>SUM(F17:F22)</f>
        <v>47</v>
      </c>
      <c r="G23" s="11">
        <f>SUM(G17:G22)</f>
        <v>118</v>
      </c>
      <c r="H23" s="11">
        <f>SUM(H17:H22)</f>
        <v>6</v>
      </c>
      <c r="I23" s="11">
        <f>I22</f>
        <v>118</v>
      </c>
      <c r="S23" t="s">
        <v>37</v>
      </c>
      <c r="T23">
        <f t="shared" si="3"/>
        <v>21</v>
      </c>
      <c r="U23" s="12">
        <f t="shared" si="4"/>
        <v>0.17796610169491525</v>
      </c>
      <c r="W23" t="s">
        <v>38</v>
      </c>
      <c r="X23">
        <f t="shared" si="5"/>
        <v>4</v>
      </c>
    </row>
    <row r="24" spans="2:32" x14ac:dyDescent="0.25">
      <c r="S24" s="11" t="s">
        <v>12</v>
      </c>
      <c r="T24" s="11">
        <f>SUM(T17:T23)</f>
        <v>118</v>
      </c>
      <c r="U24" s="13">
        <f>T24/$T$24</f>
        <v>1</v>
      </c>
      <c r="W24" s="11" t="s">
        <v>12</v>
      </c>
      <c r="X24" s="11">
        <f>SUM(X17:X23)</f>
        <v>118</v>
      </c>
    </row>
  </sheetData>
  <pageMargins left="0.7" right="0.7" top="0.75" bottom="0.75" header="0.3" footer="0.3"/>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5E888-6FA6-4368-A4D2-2B51B2CD03BB}">
  <sheetPr codeName="Sheet3"/>
  <dimension ref="A1:P172"/>
  <sheetViews>
    <sheetView workbookViewId="0">
      <selection activeCell="P1" sqref="P1"/>
    </sheetView>
  </sheetViews>
  <sheetFormatPr defaultRowHeight="15" x14ac:dyDescent="0.25"/>
  <cols>
    <col min="1" max="1" width="8.28515625" bestFit="1" customWidth="1"/>
    <col min="4" max="4" width="17" bestFit="1" customWidth="1"/>
    <col min="5" max="5" width="9" bestFit="1" customWidth="1"/>
    <col min="7" max="7" width="12.42578125" bestFit="1" customWidth="1"/>
    <col min="12" max="12" width="10.85546875" bestFit="1" customWidth="1"/>
    <col min="13" max="13" width="10.7109375" bestFit="1" customWidth="1"/>
  </cols>
  <sheetData>
    <row r="1" spans="1:16" ht="40.5" x14ac:dyDescent="0.25">
      <c r="A1" s="1" t="s">
        <v>0</v>
      </c>
      <c r="B1" s="1" t="s">
        <v>52</v>
      </c>
      <c r="C1" s="1" t="s">
        <v>53</v>
      </c>
      <c r="D1" s="1" t="s">
        <v>54</v>
      </c>
      <c r="E1" s="1" t="s">
        <v>55</v>
      </c>
      <c r="F1" s="1" t="s">
        <v>56</v>
      </c>
      <c r="G1" s="1" t="s">
        <v>6</v>
      </c>
      <c r="H1" s="1" t="s">
        <v>7</v>
      </c>
      <c r="I1" s="1" t="s">
        <v>3</v>
      </c>
      <c r="J1" s="1" t="s">
        <v>57</v>
      </c>
      <c r="K1" s="1" t="s">
        <v>58</v>
      </c>
      <c r="L1" s="1" t="s">
        <v>4</v>
      </c>
      <c r="M1" s="2" t="s">
        <v>5</v>
      </c>
      <c r="N1" s="1" t="s">
        <v>59</v>
      </c>
      <c r="O1" s="1" t="s">
        <v>9</v>
      </c>
      <c r="P1" s="1" t="s">
        <v>8</v>
      </c>
    </row>
    <row r="2" spans="1:16" x14ac:dyDescent="0.25">
      <c r="A2" s="3" t="s">
        <v>1</v>
      </c>
      <c r="B2" s="3" t="s">
        <v>60</v>
      </c>
      <c r="C2" s="4" t="s">
        <v>61</v>
      </c>
      <c r="D2" s="5" t="s">
        <v>62</v>
      </c>
      <c r="E2" s="6">
        <v>43950</v>
      </c>
      <c r="F2" s="6"/>
      <c r="G2" s="7" t="s">
        <v>27</v>
      </c>
      <c r="H2" s="4" t="s">
        <v>17</v>
      </c>
      <c r="I2" s="4" t="s">
        <v>19</v>
      </c>
      <c r="J2" s="8">
        <v>44390</v>
      </c>
      <c r="K2" s="8" t="s">
        <v>63</v>
      </c>
      <c r="L2" s="5" t="s">
        <v>17</v>
      </c>
      <c r="M2" s="5" t="s">
        <v>35</v>
      </c>
      <c r="N2" s="5">
        <v>0</v>
      </c>
      <c r="O2" s="9">
        <f>YEAR(Table2[[#This Row],[Date of Joining]])</f>
        <v>2020</v>
      </c>
      <c r="P2" s="9" t="str">
        <f ca="1">IF(DATEDIF(E2,TODAY(),"Y")&gt;=5,"5+ years",
IF(DATEDIF(E2,TODAY(),"Y")&gt;=4,"4+ years",
IF(DATEDIF(E2,TODAY(),"Y")&gt;=3,"3+ years",
IF(DATEDIF(E2,TODAY(),"Y")&gt;=2,"2+ years",
IF(DATEDIF(E2,TODAY(),"Y")&gt;=1,"1+ years","&lt;1 year")))))</f>
        <v>5+ years</v>
      </c>
    </row>
    <row r="3" spans="1:16" x14ac:dyDescent="0.25">
      <c r="A3" s="3" t="s">
        <v>10</v>
      </c>
      <c r="B3" s="3"/>
      <c r="C3" s="4" t="s">
        <v>64</v>
      </c>
      <c r="D3" s="5" t="s">
        <v>65</v>
      </c>
      <c r="E3" s="6">
        <v>44075</v>
      </c>
      <c r="F3" s="6">
        <v>44183</v>
      </c>
      <c r="G3" s="7" t="s">
        <v>27</v>
      </c>
      <c r="H3" s="4" t="s">
        <v>17</v>
      </c>
      <c r="I3" s="4" t="s">
        <v>19</v>
      </c>
      <c r="J3" s="8">
        <v>44472</v>
      </c>
      <c r="K3" s="8" t="s">
        <v>66</v>
      </c>
      <c r="L3" s="5" t="s">
        <v>20</v>
      </c>
      <c r="M3" s="5" t="s">
        <v>15</v>
      </c>
      <c r="N3" s="5">
        <v>6.5</v>
      </c>
      <c r="O3" s="9">
        <f>YEAR(Table2[[#This Row],[Date of Joining]])</f>
        <v>2020</v>
      </c>
      <c r="P3" s="9" t="str">
        <f t="shared" ref="P3:P65" ca="1" si="0">IF(DATEDIF(E3,TODAY(),"Y")&gt;=5,"5+ years",
IF(DATEDIF(E3,TODAY(),"Y")&gt;=4,"4+ years",
IF(DATEDIF(E3,TODAY(),"Y")&gt;=3,"3+ years",
IF(DATEDIF(E3,TODAY(),"Y")&gt;=2,"2+ years",
IF(DATEDIF(E3,TODAY(),"Y")&gt;=1,"1+ years","&lt;1 year")))))</f>
        <v>5+ years</v>
      </c>
    </row>
    <row r="4" spans="1:16" x14ac:dyDescent="0.25">
      <c r="A4" s="3" t="s">
        <v>1</v>
      </c>
      <c r="B4" s="3"/>
      <c r="C4" s="4" t="s">
        <v>67</v>
      </c>
      <c r="D4" s="5" t="s">
        <v>68</v>
      </c>
      <c r="E4" s="6">
        <v>44197</v>
      </c>
      <c r="F4" s="6"/>
      <c r="G4" s="7" t="s">
        <v>27</v>
      </c>
      <c r="H4" s="4" t="s">
        <v>17</v>
      </c>
      <c r="I4" s="4" t="s">
        <v>19</v>
      </c>
      <c r="J4" s="8">
        <v>44236</v>
      </c>
      <c r="K4" s="8" t="s">
        <v>63</v>
      </c>
      <c r="L4" s="5" t="s">
        <v>17</v>
      </c>
      <c r="M4" s="5" t="s">
        <v>35</v>
      </c>
      <c r="N4" s="5">
        <v>4.8</v>
      </c>
      <c r="O4" s="9">
        <f>YEAR(Table2[[#This Row],[Date of Joining]])</f>
        <v>2021</v>
      </c>
      <c r="P4" s="9" t="str">
        <f ca="1">IF(DATEDIF(E4,TODAY(),"Y")&gt;=5,"5+ years",P2
                                                                                                                                                                                                                                                                IF(DATEDIF(E4,TODAY(),"Y")&gt;=4,"4+ years",
IF(DATEDIF(E4,TODAY(),"Y")&gt;=3,"3+ years",
IF(DATEDIF(E4,TODAY(),"Y")&gt;=2,"2+ years",
IF(DATEDIF(E4,TODAY(),"Y")&gt;=1,"1+ years","&lt;1 year")))))</f>
        <v>5+ years</v>
      </c>
    </row>
    <row r="5" spans="1:16" x14ac:dyDescent="0.25">
      <c r="A5" s="3" t="s">
        <v>1</v>
      </c>
      <c r="B5" s="3"/>
      <c r="C5" s="4" t="s">
        <v>69</v>
      </c>
      <c r="D5" s="5" t="s">
        <v>70</v>
      </c>
      <c r="E5" s="6">
        <v>44236</v>
      </c>
      <c r="F5" s="6"/>
      <c r="G5" s="7" t="s">
        <v>27</v>
      </c>
      <c r="H5" s="4" t="s">
        <v>17</v>
      </c>
      <c r="I5" s="4" t="s">
        <v>19</v>
      </c>
      <c r="J5" s="8">
        <v>44269</v>
      </c>
      <c r="K5" s="8" t="s">
        <v>63</v>
      </c>
      <c r="L5" s="5" t="s">
        <v>17</v>
      </c>
      <c r="M5" s="5" t="s">
        <v>29</v>
      </c>
      <c r="N5" s="5">
        <v>14</v>
      </c>
      <c r="O5" s="9">
        <f>YEAR(Table2[[#This Row],[Date of Joining]])</f>
        <v>2021</v>
      </c>
      <c r="P5" s="9" t="str">
        <f t="shared" ca="1" si="0"/>
        <v>5+ years</v>
      </c>
    </row>
    <row r="6" spans="1:16" x14ac:dyDescent="0.25">
      <c r="A6" s="3" t="s">
        <v>10</v>
      </c>
      <c r="B6" s="3"/>
      <c r="C6" s="4" t="s">
        <v>71</v>
      </c>
      <c r="D6" s="5" t="s">
        <v>72</v>
      </c>
      <c r="E6" s="6">
        <v>44469</v>
      </c>
      <c r="F6" s="6">
        <v>44834</v>
      </c>
      <c r="G6" s="7" t="s">
        <v>16</v>
      </c>
      <c r="H6" s="4" t="s">
        <v>17</v>
      </c>
      <c r="I6" s="4" t="s">
        <v>13</v>
      </c>
      <c r="J6" s="8">
        <v>44297</v>
      </c>
      <c r="K6" s="8" t="s">
        <v>63</v>
      </c>
      <c r="L6" s="5" t="s">
        <v>17</v>
      </c>
      <c r="M6" s="5" t="s">
        <v>32</v>
      </c>
      <c r="N6" s="5">
        <v>0</v>
      </c>
      <c r="O6" s="9">
        <f>YEAR(Table2[[#This Row],[Date of Joining]])</f>
        <v>2021</v>
      </c>
      <c r="P6" s="9" t="str">
        <f t="shared" ca="1" si="0"/>
        <v>5+ years</v>
      </c>
    </row>
    <row r="7" spans="1:16" x14ac:dyDescent="0.25">
      <c r="A7" s="3" t="s">
        <v>10</v>
      </c>
      <c r="B7" s="3"/>
      <c r="C7" s="4" t="s">
        <v>73</v>
      </c>
      <c r="D7" s="5" t="s">
        <v>74</v>
      </c>
      <c r="E7" s="6">
        <v>44655</v>
      </c>
      <c r="F7" s="6">
        <v>44758</v>
      </c>
      <c r="G7" s="5" t="s">
        <v>33</v>
      </c>
      <c r="H7" s="4" t="s">
        <v>17</v>
      </c>
      <c r="I7" s="4" t="s">
        <v>19</v>
      </c>
      <c r="J7" s="8">
        <v>44431</v>
      </c>
      <c r="K7" s="8" t="s">
        <v>63</v>
      </c>
      <c r="L7" s="5" t="s">
        <v>17</v>
      </c>
      <c r="M7" s="5" t="s">
        <v>21</v>
      </c>
      <c r="N7" s="5">
        <v>2</v>
      </c>
      <c r="O7" s="9">
        <f>YEAR(Table2[[#This Row],[Date of Joining]])</f>
        <v>2022</v>
      </c>
      <c r="P7" s="9" t="str">
        <f t="shared" ca="1" si="0"/>
        <v>4+ years</v>
      </c>
    </row>
    <row r="8" spans="1:16" x14ac:dyDescent="0.25">
      <c r="A8" s="3" t="s">
        <v>10</v>
      </c>
      <c r="B8" s="3"/>
      <c r="C8" s="4" t="s">
        <v>75</v>
      </c>
      <c r="D8" s="5" t="s">
        <v>76</v>
      </c>
      <c r="E8" s="6">
        <v>44715</v>
      </c>
      <c r="F8" s="6">
        <v>44951</v>
      </c>
      <c r="G8" s="7" t="s">
        <v>16</v>
      </c>
      <c r="H8" s="4" t="s">
        <v>17</v>
      </c>
      <c r="I8" s="4" t="s">
        <v>19</v>
      </c>
      <c r="J8" s="8">
        <v>44226</v>
      </c>
      <c r="K8" s="8" t="s">
        <v>63</v>
      </c>
      <c r="L8" s="5" t="s">
        <v>17</v>
      </c>
      <c r="M8" s="5" t="s">
        <v>32</v>
      </c>
      <c r="N8" s="5">
        <v>2.8</v>
      </c>
      <c r="O8" s="9">
        <f>YEAR(Table2[[#This Row],[Date of Joining]])</f>
        <v>2022</v>
      </c>
      <c r="P8" s="9" t="str">
        <f t="shared" ca="1" si="0"/>
        <v>4+ years</v>
      </c>
    </row>
    <row r="9" spans="1:16" x14ac:dyDescent="0.25">
      <c r="A9" s="3" t="s">
        <v>10</v>
      </c>
      <c r="B9" s="3"/>
      <c r="C9" s="4" t="s">
        <v>77</v>
      </c>
      <c r="D9" s="5" t="s">
        <v>78</v>
      </c>
      <c r="E9" s="6">
        <v>44721</v>
      </c>
      <c r="F9" s="6">
        <v>45149</v>
      </c>
      <c r="G9" s="7" t="s">
        <v>16</v>
      </c>
      <c r="H9" s="4" t="s">
        <v>17</v>
      </c>
      <c r="I9" s="4" t="s">
        <v>19</v>
      </c>
      <c r="J9" s="8">
        <v>44497</v>
      </c>
      <c r="K9" s="8" t="s">
        <v>63</v>
      </c>
      <c r="L9" s="5" t="s">
        <v>17</v>
      </c>
      <c r="M9" s="5" t="s">
        <v>26</v>
      </c>
      <c r="N9" s="5">
        <v>0</v>
      </c>
      <c r="O9" s="9">
        <f>YEAR(Table2[[#This Row],[Date of Joining]])</f>
        <v>2022</v>
      </c>
      <c r="P9" s="9" t="str">
        <f t="shared" ca="1" si="0"/>
        <v>4+ years</v>
      </c>
    </row>
    <row r="10" spans="1:16" x14ac:dyDescent="0.25">
      <c r="A10" s="3" t="s">
        <v>10</v>
      </c>
      <c r="B10" s="3"/>
      <c r="C10" s="4" t="s">
        <v>79</v>
      </c>
      <c r="D10" s="5" t="s">
        <v>80</v>
      </c>
      <c r="E10" s="6">
        <v>44749</v>
      </c>
      <c r="F10" s="6">
        <v>45168</v>
      </c>
      <c r="G10" s="5" t="s">
        <v>38</v>
      </c>
      <c r="H10" s="4" t="s">
        <v>17</v>
      </c>
      <c r="I10" s="4" t="s">
        <v>19</v>
      </c>
      <c r="J10" s="8">
        <v>44556</v>
      </c>
      <c r="K10" s="8" t="s">
        <v>63</v>
      </c>
      <c r="L10" s="5" t="s">
        <v>17</v>
      </c>
      <c r="M10" s="5" t="s">
        <v>26</v>
      </c>
      <c r="N10" s="5">
        <v>3</v>
      </c>
      <c r="O10" s="9">
        <f>YEAR(Table2[[#This Row],[Date of Joining]])</f>
        <v>2022</v>
      </c>
      <c r="P10" s="9" t="str">
        <f t="shared" ca="1" si="0"/>
        <v>4+ years</v>
      </c>
    </row>
    <row r="11" spans="1:16" x14ac:dyDescent="0.25">
      <c r="A11" s="3" t="s">
        <v>10</v>
      </c>
      <c r="B11" s="3"/>
      <c r="C11" s="4" t="s">
        <v>81</v>
      </c>
      <c r="D11" s="5" t="s">
        <v>82</v>
      </c>
      <c r="E11" s="6">
        <v>44777</v>
      </c>
      <c r="F11" s="6">
        <v>45059</v>
      </c>
      <c r="G11" s="7" t="s">
        <v>16</v>
      </c>
      <c r="H11" s="4" t="s">
        <v>17</v>
      </c>
      <c r="I11" s="4" t="s">
        <v>19</v>
      </c>
      <c r="J11" s="8">
        <v>44293</v>
      </c>
      <c r="K11" s="8" t="s">
        <v>63</v>
      </c>
      <c r="L11" s="5" t="s">
        <v>17</v>
      </c>
      <c r="M11" s="5" t="s">
        <v>29</v>
      </c>
      <c r="N11" s="5">
        <v>5.9</v>
      </c>
      <c r="O11" s="9">
        <f>YEAR(Table2[[#This Row],[Date of Joining]])</f>
        <v>2022</v>
      </c>
      <c r="P11" s="9" t="str">
        <f t="shared" ca="1" si="0"/>
        <v>4+ years</v>
      </c>
    </row>
    <row r="12" spans="1:16" x14ac:dyDescent="0.25">
      <c r="A12" s="3" t="s">
        <v>1</v>
      </c>
      <c r="B12" s="3"/>
      <c r="C12" s="4" t="s">
        <v>83</v>
      </c>
      <c r="D12" s="5" t="s">
        <v>84</v>
      </c>
      <c r="E12" s="6">
        <v>44805</v>
      </c>
      <c r="F12" s="6"/>
      <c r="G12" s="7" t="s">
        <v>22</v>
      </c>
      <c r="H12" s="4" t="s">
        <v>17</v>
      </c>
      <c r="I12" s="4" t="s">
        <v>19</v>
      </c>
      <c r="J12" s="8">
        <v>44487</v>
      </c>
      <c r="K12" s="8" t="s">
        <v>66</v>
      </c>
      <c r="L12" s="5" t="s">
        <v>17</v>
      </c>
      <c r="M12" s="5" t="s">
        <v>21</v>
      </c>
      <c r="N12" s="5">
        <v>10</v>
      </c>
      <c r="O12" s="9">
        <f>YEAR(Table2[[#This Row],[Date of Joining]])</f>
        <v>2022</v>
      </c>
      <c r="P12" s="9" t="str">
        <f t="shared" ca="1" si="0"/>
        <v>4+ years</v>
      </c>
    </row>
    <row r="13" spans="1:16" x14ac:dyDescent="0.25">
      <c r="A13" s="3" t="s">
        <v>10</v>
      </c>
      <c r="B13" s="3"/>
      <c r="C13" s="4" t="s">
        <v>85</v>
      </c>
      <c r="D13" s="5" t="s">
        <v>86</v>
      </c>
      <c r="E13" s="6">
        <v>44812</v>
      </c>
      <c r="F13" s="6">
        <v>45290</v>
      </c>
      <c r="G13" s="7" t="s">
        <v>22</v>
      </c>
      <c r="H13" s="4" t="s">
        <v>17</v>
      </c>
      <c r="I13" s="4" t="s">
        <v>13</v>
      </c>
      <c r="J13" s="8">
        <v>44312</v>
      </c>
      <c r="K13" s="8" t="s">
        <v>63</v>
      </c>
      <c r="L13" s="5" t="s">
        <v>17</v>
      </c>
      <c r="M13" s="5" t="s">
        <v>32</v>
      </c>
      <c r="N13" s="5">
        <v>1</v>
      </c>
      <c r="O13" s="9">
        <f>YEAR(Table2[[#This Row],[Date of Joining]])</f>
        <v>2022</v>
      </c>
      <c r="P13" s="9" t="str">
        <f t="shared" ca="1" si="0"/>
        <v>4+ years</v>
      </c>
    </row>
    <row r="14" spans="1:16" x14ac:dyDescent="0.25">
      <c r="A14" s="3" t="s">
        <v>1</v>
      </c>
      <c r="B14" s="3"/>
      <c r="C14" s="4" t="s">
        <v>87</v>
      </c>
      <c r="D14" s="5" t="s">
        <v>88</v>
      </c>
      <c r="E14" s="6">
        <v>44873</v>
      </c>
      <c r="F14" s="6"/>
      <c r="G14" s="7" t="s">
        <v>22</v>
      </c>
      <c r="H14" s="4" t="s">
        <v>17</v>
      </c>
      <c r="I14" s="4" t="s">
        <v>19</v>
      </c>
      <c r="J14" s="8">
        <v>44496</v>
      </c>
      <c r="K14" s="8" t="s">
        <v>66</v>
      </c>
      <c r="L14" s="5" t="s">
        <v>17</v>
      </c>
      <c r="M14" s="5" t="s">
        <v>37</v>
      </c>
      <c r="N14" s="5">
        <v>10</v>
      </c>
      <c r="O14" s="9">
        <f>YEAR(Table2[[#This Row],[Date of Joining]])</f>
        <v>2022</v>
      </c>
      <c r="P14" s="9" t="str">
        <f t="shared" ca="1" si="0"/>
        <v>3+ years</v>
      </c>
    </row>
    <row r="15" spans="1:16" x14ac:dyDescent="0.25">
      <c r="A15" s="3" t="s">
        <v>10</v>
      </c>
      <c r="B15" s="3"/>
      <c r="C15" s="4" t="s">
        <v>89</v>
      </c>
      <c r="D15" s="5" t="s">
        <v>90</v>
      </c>
      <c r="E15" s="6">
        <v>44947</v>
      </c>
      <c r="F15" s="6">
        <v>45251</v>
      </c>
      <c r="G15" s="7" t="s">
        <v>30</v>
      </c>
      <c r="H15" s="4" t="s">
        <v>17</v>
      </c>
      <c r="I15" s="4" t="s">
        <v>19</v>
      </c>
      <c r="J15" s="8">
        <v>44445</v>
      </c>
      <c r="K15" s="8" t="s">
        <v>63</v>
      </c>
      <c r="L15" s="5" t="s">
        <v>17</v>
      </c>
      <c r="M15" s="5" t="s">
        <v>32</v>
      </c>
      <c r="N15" s="5">
        <v>0</v>
      </c>
      <c r="O15" s="9">
        <f>YEAR(Table2[[#This Row],[Date of Joining]])</f>
        <v>2023</v>
      </c>
      <c r="P15" s="9" t="str">
        <f t="shared" ca="1" si="0"/>
        <v>3+ years</v>
      </c>
    </row>
    <row r="16" spans="1:16" x14ac:dyDescent="0.25">
      <c r="A16" s="3" t="s">
        <v>10</v>
      </c>
      <c r="B16" s="3"/>
      <c r="C16" s="4" t="s">
        <v>91</v>
      </c>
      <c r="D16" s="5" t="s">
        <v>92</v>
      </c>
      <c r="E16" s="6">
        <v>45083</v>
      </c>
      <c r="F16" s="6">
        <v>45415</v>
      </c>
      <c r="G16" s="7" t="s">
        <v>30</v>
      </c>
      <c r="H16" s="4" t="s">
        <v>17</v>
      </c>
      <c r="I16" s="4" t="s">
        <v>13</v>
      </c>
      <c r="J16" s="8">
        <v>44620</v>
      </c>
      <c r="K16" s="8" t="s">
        <v>63</v>
      </c>
      <c r="L16" s="5" t="s">
        <v>17</v>
      </c>
      <c r="M16" s="5" t="s">
        <v>26</v>
      </c>
      <c r="N16" s="5">
        <v>0.1</v>
      </c>
      <c r="O16" s="9">
        <f>YEAR(Table2[[#This Row],[Date of Joining]])</f>
        <v>2023</v>
      </c>
      <c r="P16" s="9" t="str">
        <f t="shared" ca="1" si="0"/>
        <v>3+ years</v>
      </c>
    </row>
    <row r="17" spans="1:16" x14ac:dyDescent="0.25">
      <c r="A17" s="3" t="s">
        <v>1</v>
      </c>
      <c r="B17" s="3"/>
      <c r="C17" s="4" t="s">
        <v>93</v>
      </c>
      <c r="D17" s="5" t="s">
        <v>94</v>
      </c>
      <c r="E17" s="6">
        <v>45218</v>
      </c>
      <c r="F17" s="6"/>
      <c r="G17" s="7" t="s">
        <v>30</v>
      </c>
      <c r="H17" s="4" t="s">
        <v>17</v>
      </c>
      <c r="I17" s="4" t="s">
        <v>13</v>
      </c>
      <c r="J17" s="8">
        <v>44830</v>
      </c>
      <c r="K17" s="8" t="s">
        <v>63</v>
      </c>
      <c r="L17" s="5" t="s">
        <v>17</v>
      </c>
      <c r="M17" s="5" t="s">
        <v>26</v>
      </c>
      <c r="N17" s="5">
        <v>0</v>
      </c>
      <c r="O17" s="9">
        <f>YEAR(Table2[[#This Row],[Date of Joining]])</f>
        <v>2023</v>
      </c>
      <c r="P17" s="9" t="str">
        <f t="shared" ca="1" si="0"/>
        <v>2+ years</v>
      </c>
    </row>
    <row r="18" spans="1:16" x14ac:dyDescent="0.25">
      <c r="A18" s="3" t="s">
        <v>1</v>
      </c>
      <c r="B18" s="3"/>
      <c r="C18" s="4" t="s">
        <v>95</v>
      </c>
      <c r="D18" s="5" t="s">
        <v>96</v>
      </c>
      <c r="E18" s="6">
        <v>45274</v>
      </c>
      <c r="F18" s="6"/>
      <c r="G18" s="7" t="s">
        <v>30</v>
      </c>
      <c r="H18" s="4" t="s">
        <v>17</v>
      </c>
      <c r="I18" s="4" t="s">
        <v>13</v>
      </c>
      <c r="J18" s="8">
        <v>44877</v>
      </c>
      <c r="K18" s="8" t="s">
        <v>63</v>
      </c>
      <c r="L18" s="5" t="s">
        <v>17</v>
      </c>
      <c r="M18" s="5" t="s">
        <v>29</v>
      </c>
      <c r="N18" s="5">
        <v>4</v>
      </c>
      <c r="O18" s="9">
        <f>YEAR(Table2[[#This Row],[Date of Joining]])</f>
        <v>2023</v>
      </c>
      <c r="P18" s="9" t="str">
        <f t="shared" ca="1" si="0"/>
        <v>2+ years</v>
      </c>
    </row>
    <row r="19" spans="1:16" x14ac:dyDescent="0.25">
      <c r="A19" s="3" t="s">
        <v>1</v>
      </c>
      <c r="B19" s="3"/>
      <c r="C19" s="4" t="s">
        <v>97</v>
      </c>
      <c r="D19" s="5" t="s">
        <v>98</v>
      </c>
      <c r="E19" s="6">
        <v>45328</v>
      </c>
      <c r="F19" s="6"/>
      <c r="G19" s="7" t="s">
        <v>27</v>
      </c>
      <c r="H19" s="4" t="s">
        <v>17</v>
      </c>
      <c r="I19" s="4" t="s">
        <v>19</v>
      </c>
      <c r="J19" s="8">
        <v>44558</v>
      </c>
      <c r="K19" s="8" t="s">
        <v>63</v>
      </c>
      <c r="L19" s="5" t="s">
        <v>17</v>
      </c>
      <c r="M19" s="5" t="s">
        <v>26</v>
      </c>
      <c r="N19" s="5">
        <v>0</v>
      </c>
      <c r="O19" s="9">
        <f>YEAR(Table2[[#This Row],[Date of Joining]])</f>
        <v>2024</v>
      </c>
      <c r="P19" s="9" t="str">
        <f t="shared" ca="1" si="0"/>
        <v>2+ years</v>
      </c>
    </row>
    <row r="20" spans="1:16" x14ac:dyDescent="0.25">
      <c r="A20" s="3" t="s">
        <v>1</v>
      </c>
      <c r="B20" s="3"/>
      <c r="C20" s="4" t="s">
        <v>99</v>
      </c>
      <c r="D20" s="5" t="s">
        <v>100</v>
      </c>
      <c r="E20" s="6">
        <v>45378</v>
      </c>
      <c r="F20" s="6"/>
      <c r="G20" s="7" t="s">
        <v>30</v>
      </c>
      <c r="H20" s="4" t="s">
        <v>17</v>
      </c>
      <c r="I20" s="4" t="s">
        <v>19</v>
      </c>
      <c r="J20" s="8">
        <v>37686</v>
      </c>
      <c r="K20" s="8" t="s">
        <v>66</v>
      </c>
      <c r="L20" s="5" t="s">
        <v>17</v>
      </c>
      <c r="M20" s="5" t="s">
        <v>32</v>
      </c>
      <c r="N20" s="5">
        <v>10</v>
      </c>
      <c r="O20" s="9">
        <f>YEAR(Table2[[#This Row],[Date of Joining]])</f>
        <v>2024</v>
      </c>
      <c r="P20" s="9" t="str">
        <f t="shared" ca="1" si="0"/>
        <v>2+ years</v>
      </c>
    </row>
    <row r="21" spans="1:16" x14ac:dyDescent="0.25">
      <c r="A21" s="3" t="s">
        <v>1</v>
      </c>
      <c r="B21" s="3"/>
      <c r="C21" s="4" t="s">
        <v>101</v>
      </c>
      <c r="D21" s="5" t="s">
        <v>102</v>
      </c>
      <c r="E21" s="6">
        <v>45444</v>
      </c>
      <c r="F21" s="6"/>
      <c r="G21" s="7" t="s">
        <v>30</v>
      </c>
      <c r="H21" s="4" t="s">
        <v>17</v>
      </c>
      <c r="I21" s="4" t="s">
        <v>13</v>
      </c>
      <c r="J21" s="8">
        <v>44898</v>
      </c>
      <c r="K21" s="8" t="s">
        <v>66</v>
      </c>
      <c r="L21" s="5" t="s">
        <v>17</v>
      </c>
      <c r="M21" s="5" t="s">
        <v>29</v>
      </c>
      <c r="N21" s="5">
        <v>4</v>
      </c>
      <c r="O21" s="9">
        <f>YEAR(Table2[[#This Row],[Date of Joining]])</f>
        <v>2024</v>
      </c>
      <c r="P21" s="9" t="str">
        <f t="shared" ca="1" si="0"/>
        <v>2+ years</v>
      </c>
    </row>
    <row r="22" spans="1:16" x14ac:dyDescent="0.25">
      <c r="A22" s="3" t="s">
        <v>1</v>
      </c>
      <c r="B22" s="3"/>
      <c r="C22" s="4" t="s">
        <v>103</v>
      </c>
      <c r="D22" s="5" t="s">
        <v>104</v>
      </c>
      <c r="E22" s="6">
        <v>45662</v>
      </c>
      <c r="F22" s="6"/>
      <c r="G22" s="5" t="s">
        <v>36</v>
      </c>
      <c r="H22" s="4" t="s">
        <v>17</v>
      </c>
      <c r="I22" s="4" t="s">
        <v>13</v>
      </c>
      <c r="J22" s="8">
        <v>44338</v>
      </c>
      <c r="K22" s="8" t="s">
        <v>66</v>
      </c>
      <c r="L22" s="5" t="s">
        <v>17</v>
      </c>
      <c r="M22" s="5" t="s">
        <v>21</v>
      </c>
      <c r="N22" s="5">
        <v>4.8</v>
      </c>
      <c r="O22" s="9">
        <f>YEAR(Table2[[#This Row],[Date of Joining]])</f>
        <v>2025</v>
      </c>
      <c r="P22" s="9" t="str">
        <f t="shared" ca="1" si="0"/>
        <v>1+ years</v>
      </c>
    </row>
    <row r="23" spans="1:16" x14ac:dyDescent="0.25">
      <c r="A23" s="3" t="s">
        <v>1</v>
      </c>
      <c r="B23" s="3"/>
      <c r="C23" s="4" t="s">
        <v>105</v>
      </c>
      <c r="D23" s="5" t="s">
        <v>106</v>
      </c>
      <c r="E23" s="6">
        <v>45671</v>
      </c>
      <c r="F23" s="6"/>
      <c r="G23" s="5" t="s">
        <v>36</v>
      </c>
      <c r="H23" s="4" t="s">
        <v>17</v>
      </c>
      <c r="I23" s="4" t="s">
        <v>19</v>
      </c>
      <c r="J23" s="8">
        <v>44236</v>
      </c>
      <c r="K23" s="8" t="s">
        <v>63</v>
      </c>
      <c r="L23" s="5" t="s">
        <v>17</v>
      </c>
      <c r="M23" s="5" t="s">
        <v>35</v>
      </c>
      <c r="N23" s="5">
        <v>9</v>
      </c>
      <c r="O23" s="9">
        <f>YEAR(Table2[[#This Row],[Date of Joining]])</f>
        <v>2025</v>
      </c>
      <c r="P23" s="9" t="str">
        <f t="shared" ca="1" si="0"/>
        <v>1+ years</v>
      </c>
    </row>
    <row r="24" spans="1:16" x14ac:dyDescent="0.25">
      <c r="A24" s="3" t="s">
        <v>1</v>
      </c>
      <c r="B24" s="3"/>
      <c r="C24" s="4" t="s">
        <v>107</v>
      </c>
      <c r="D24" s="5" t="s">
        <v>108</v>
      </c>
      <c r="E24" s="6">
        <v>45775</v>
      </c>
      <c r="F24" s="6"/>
      <c r="G24" s="7" t="s">
        <v>16</v>
      </c>
      <c r="H24" s="4" t="s">
        <v>17</v>
      </c>
      <c r="I24" s="4" t="s">
        <v>19</v>
      </c>
      <c r="J24" s="8">
        <v>44536</v>
      </c>
      <c r="K24" s="8" t="s">
        <v>66</v>
      </c>
      <c r="L24" s="5" t="s">
        <v>17</v>
      </c>
      <c r="M24" s="5" t="s">
        <v>32</v>
      </c>
      <c r="N24" s="5">
        <v>8</v>
      </c>
      <c r="O24" s="9">
        <f>YEAR(Table2[[#This Row],[Date of Joining]])</f>
        <v>2025</v>
      </c>
      <c r="P24" s="9" t="str">
        <f t="shared" ca="1" si="0"/>
        <v>1+ years</v>
      </c>
    </row>
    <row r="25" spans="1:16" x14ac:dyDescent="0.25">
      <c r="A25" s="3" t="s">
        <v>1</v>
      </c>
      <c r="B25" s="3" t="s">
        <v>60</v>
      </c>
      <c r="C25" s="4">
        <v>107224</v>
      </c>
      <c r="D25" s="5" t="s">
        <v>109</v>
      </c>
      <c r="E25" s="6">
        <v>43867</v>
      </c>
      <c r="F25" s="6"/>
      <c r="G25" s="7" t="s">
        <v>27</v>
      </c>
      <c r="H25" s="4" t="s">
        <v>23</v>
      </c>
      <c r="I25" s="4" t="s">
        <v>19</v>
      </c>
      <c r="J25" s="8">
        <v>44433</v>
      </c>
      <c r="K25" s="8" t="s">
        <v>63</v>
      </c>
      <c r="L25" s="5" t="s">
        <v>20</v>
      </c>
      <c r="M25" s="5" t="s">
        <v>35</v>
      </c>
      <c r="N25" s="5">
        <v>13</v>
      </c>
      <c r="O25" s="9">
        <f>YEAR(Table2[[#This Row],[Date of Joining]])</f>
        <v>2020</v>
      </c>
      <c r="P25" s="9" t="str">
        <f t="shared" ca="1" si="0"/>
        <v>5+ years</v>
      </c>
    </row>
    <row r="26" spans="1:16" x14ac:dyDescent="0.25">
      <c r="A26" s="3" t="s">
        <v>10</v>
      </c>
      <c r="B26" s="3" t="s">
        <v>60</v>
      </c>
      <c r="C26" s="4">
        <v>148467</v>
      </c>
      <c r="D26" s="5" t="s">
        <v>110</v>
      </c>
      <c r="E26" s="6">
        <v>43869</v>
      </c>
      <c r="F26" s="6">
        <v>45473</v>
      </c>
      <c r="G26" s="5" t="s">
        <v>36</v>
      </c>
      <c r="H26" s="4" t="s">
        <v>23</v>
      </c>
      <c r="I26" s="4" t="s">
        <v>13</v>
      </c>
      <c r="J26" s="8">
        <v>44494</v>
      </c>
      <c r="K26" s="8" t="s">
        <v>63</v>
      </c>
      <c r="L26" s="5" t="s">
        <v>20</v>
      </c>
      <c r="M26" s="5" t="s">
        <v>15</v>
      </c>
      <c r="N26" s="5">
        <v>5</v>
      </c>
      <c r="O26" s="9">
        <f>YEAR(Table2[[#This Row],[Date of Joining]])</f>
        <v>2020</v>
      </c>
      <c r="P26" s="9" t="str">
        <f t="shared" ca="1" si="0"/>
        <v>5+ years</v>
      </c>
    </row>
    <row r="27" spans="1:16" x14ac:dyDescent="0.25">
      <c r="A27" s="3" t="s">
        <v>10</v>
      </c>
      <c r="B27" s="3"/>
      <c r="C27" s="4">
        <v>114416</v>
      </c>
      <c r="D27" s="5" t="s">
        <v>111</v>
      </c>
      <c r="E27" s="6">
        <v>43874</v>
      </c>
      <c r="F27" s="6">
        <v>45300</v>
      </c>
      <c r="G27" s="7" t="s">
        <v>30</v>
      </c>
      <c r="H27" s="4" t="s">
        <v>23</v>
      </c>
      <c r="I27" s="4" t="s">
        <v>19</v>
      </c>
      <c r="J27" s="8">
        <v>44524</v>
      </c>
      <c r="K27" s="8" t="s">
        <v>66</v>
      </c>
      <c r="L27" s="5" t="s">
        <v>25</v>
      </c>
      <c r="M27" s="5" t="s">
        <v>21</v>
      </c>
      <c r="N27" s="5">
        <v>8</v>
      </c>
      <c r="O27" s="9">
        <f>YEAR(Table2[[#This Row],[Date of Joining]])</f>
        <v>2020</v>
      </c>
      <c r="P27" s="9" t="str">
        <f t="shared" ca="1" si="0"/>
        <v>5+ years</v>
      </c>
    </row>
    <row r="28" spans="1:16" x14ac:dyDescent="0.25">
      <c r="A28" s="3" t="s">
        <v>1</v>
      </c>
      <c r="B28" s="3"/>
      <c r="C28" s="4">
        <v>189095</v>
      </c>
      <c r="D28" s="5" t="s">
        <v>112</v>
      </c>
      <c r="E28" s="6">
        <v>43887</v>
      </c>
      <c r="F28" s="6"/>
      <c r="G28" s="7" t="s">
        <v>30</v>
      </c>
      <c r="H28" s="4" t="s">
        <v>23</v>
      </c>
      <c r="I28" s="4" t="s">
        <v>19</v>
      </c>
      <c r="J28" s="8">
        <v>44504</v>
      </c>
      <c r="K28" s="8" t="s">
        <v>63</v>
      </c>
      <c r="L28" s="5" t="s">
        <v>25</v>
      </c>
      <c r="M28" s="5" t="s">
        <v>35</v>
      </c>
      <c r="N28" s="5">
        <v>17</v>
      </c>
      <c r="O28" s="9">
        <f>YEAR(Table2[[#This Row],[Date of Joining]])</f>
        <v>2020</v>
      </c>
      <c r="P28" s="9" t="str">
        <f t="shared" ca="1" si="0"/>
        <v>5+ years</v>
      </c>
    </row>
    <row r="29" spans="1:16" x14ac:dyDescent="0.25">
      <c r="A29" s="3" t="s">
        <v>10</v>
      </c>
      <c r="B29" s="3"/>
      <c r="C29" s="4">
        <v>123874</v>
      </c>
      <c r="D29" s="5" t="s">
        <v>113</v>
      </c>
      <c r="E29" s="6">
        <v>43901</v>
      </c>
      <c r="F29" s="6">
        <v>44560</v>
      </c>
      <c r="G29" s="7" t="s">
        <v>30</v>
      </c>
      <c r="H29" s="4" t="s">
        <v>23</v>
      </c>
      <c r="I29" s="4" t="s">
        <v>19</v>
      </c>
      <c r="J29" s="8">
        <v>44558</v>
      </c>
      <c r="K29" s="8" t="s">
        <v>66</v>
      </c>
      <c r="L29" s="5" t="s">
        <v>20</v>
      </c>
      <c r="M29" s="5" t="s">
        <v>15</v>
      </c>
      <c r="N29" s="5">
        <v>14</v>
      </c>
      <c r="O29" s="9">
        <f>YEAR(Table2[[#This Row],[Date of Joining]])</f>
        <v>2020</v>
      </c>
      <c r="P29" s="9" t="str">
        <f t="shared" ca="1" si="0"/>
        <v>5+ years</v>
      </c>
    </row>
    <row r="30" spans="1:16" x14ac:dyDescent="0.25">
      <c r="A30" s="3" t="s">
        <v>1</v>
      </c>
      <c r="B30" s="3" t="s">
        <v>60</v>
      </c>
      <c r="C30" s="4">
        <v>147637</v>
      </c>
      <c r="D30" s="5" t="s">
        <v>22</v>
      </c>
      <c r="E30" s="6">
        <v>43916</v>
      </c>
      <c r="F30" s="6"/>
      <c r="G30" s="7" t="s">
        <v>27</v>
      </c>
      <c r="H30" s="4" t="s">
        <v>23</v>
      </c>
      <c r="I30" s="4" t="s">
        <v>19</v>
      </c>
      <c r="J30" s="8">
        <v>44314</v>
      </c>
      <c r="K30" s="8" t="s">
        <v>63</v>
      </c>
      <c r="L30" s="5" t="s">
        <v>20</v>
      </c>
      <c r="M30" s="5" t="s">
        <v>21</v>
      </c>
      <c r="N30" s="5">
        <v>14</v>
      </c>
      <c r="O30" s="9">
        <f>YEAR(Table2[[#This Row],[Date of Joining]])</f>
        <v>2020</v>
      </c>
      <c r="P30" s="9" t="str">
        <f t="shared" ca="1" si="0"/>
        <v>5+ years</v>
      </c>
    </row>
    <row r="31" spans="1:16" x14ac:dyDescent="0.25">
      <c r="A31" s="3" t="s">
        <v>1</v>
      </c>
      <c r="B31" s="3" t="s">
        <v>60</v>
      </c>
      <c r="C31" s="4">
        <v>183900</v>
      </c>
      <c r="D31" s="5" t="s">
        <v>114</v>
      </c>
      <c r="E31" s="6">
        <v>43950</v>
      </c>
      <c r="F31" s="6"/>
      <c r="G31" s="7" t="s">
        <v>30</v>
      </c>
      <c r="H31" s="4" t="s">
        <v>23</v>
      </c>
      <c r="I31" s="4" t="s">
        <v>19</v>
      </c>
      <c r="J31" s="8">
        <v>44309</v>
      </c>
      <c r="K31" s="8" t="s">
        <v>63</v>
      </c>
      <c r="L31" s="5" t="s">
        <v>25</v>
      </c>
      <c r="M31" s="5" t="s">
        <v>15</v>
      </c>
      <c r="N31" s="5">
        <v>13</v>
      </c>
      <c r="O31" s="9">
        <f>YEAR(Table2[[#This Row],[Date of Joining]])</f>
        <v>2020</v>
      </c>
      <c r="P31" s="9" t="str">
        <f t="shared" ca="1" si="0"/>
        <v>5+ years</v>
      </c>
    </row>
    <row r="32" spans="1:16" x14ac:dyDescent="0.25">
      <c r="A32" s="3" t="s">
        <v>1</v>
      </c>
      <c r="B32" s="3"/>
      <c r="C32" s="4">
        <v>110700</v>
      </c>
      <c r="D32" s="5" t="s">
        <v>115</v>
      </c>
      <c r="E32" s="6">
        <v>43971</v>
      </c>
      <c r="F32" s="6"/>
      <c r="G32" s="7" t="s">
        <v>30</v>
      </c>
      <c r="H32" s="4" t="s">
        <v>23</v>
      </c>
      <c r="I32" s="4" t="s">
        <v>19</v>
      </c>
      <c r="J32" s="8">
        <v>44307</v>
      </c>
      <c r="K32" s="8" t="s">
        <v>63</v>
      </c>
      <c r="L32" s="5" t="s">
        <v>25</v>
      </c>
      <c r="M32" s="5" t="s">
        <v>21</v>
      </c>
      <c r="N32" s="5">
        <v>13</v>
      </c>
      <c r="O32" s="9">
        <f>YEAR(Table2[[#This Row],[Date of Joining]])</f>
        <v>2020</v>
      </c>
      <c r="P32" s="9" t="str">
        <f t="shared" ca="1" si="0"/>
        <v>5+ years</v>
      </c>
    </row>
    <row r="33" spans="1:16" x14ac:dyDescent="0.25">
      <c r="A33" s="3" t="s">
        <v>1</v>
      </c>
      <c r="B33" s="3" t="s">
        <v>60</v>
      </c>
      <c r="C33" s="4">
        <v>188035</v>
      </c>
      <c r="D33" s="5" t="s">
        <v>116</v>
      </c>
      <c r="E33" s="6">
        <v>43994</v>
      </c>
      <c r="F33" s="6"/>
      <c r="G33" s="7" t="s">
        <v>22</v>
      </c>
      <c r="H33" s="4" t="s">
        <v>23</v>
      </c>
      <c r="I33" s="4" t="s">
        <v>19</v>
      </c>
      <c r="J33" s="8">
        <v>44781</v>
      </c>
      <c r="K33" s="8" t="s">
        <v>63</v>
      </c>
      <c r="L33" s="5" t="s">
        <v>20</v>
      </c>
      <c r="M33" s="5" t="s">
        <v>35</v>
      </c>
      <c r="N33" s="5">
        <v>7</v>
      </c>
      <c r="O33" s="9">
        <f>YEAR(Table2[[#This Row],[Date of Joining]])</f>
        <v>2020</v>
      </c>
      <c r="P33" s="9" t="str">
        <f t="shared" ca="1" si="0"/>
        <v>5+ years</v>
      </c>
    </row>
    <row r="34" spans="1:16" x14ac:dyDescent="0.25">
      <c r="A34" s="3" t="s">
        <v>1</v>
      </c>
      <c r="B34" s="3"/>
      <c r="C34" s="4">
        <v>131049</v>
      </c>
      <c r="D34" s="5" t="s">
        <v>117</v>
      </c>
      <c r="E34" s="6">
        <v>44000</v>
      </c>
      <c r="F34" s="6"/>
      <c r="G34" s="7" t="s">
        <v>30</v>
      </c>
      <c r="H34" s="4" t="s">
        <v>23</v>
      </c>
      <c r="I34" s="4" t="s">
        <v>19</v>
      </c>
      <c r="J34" s="8">
        <v>44561</v>
      </c>
      <c r="K34" s="8" t="s">
        <v>63</v>
      </c>
      <c r="L34" s="5" t="s">
        <v>25</v>
      </c>
      <c r="M34" s="5" t="s">
        <v>35</v>
      </c>
      <c r="N34" s="5">
        <v>13</v>
      </c>
      <c r="O34" s="9">
        <f>YEAR(Table2[[#This Row],[Date of Joining]])</f>
        <v>2020</v>
      </c>
      <c r="P34" s="9" t="str">
        <f t="shared" ca="1" si="0"/>
        <v>5+ years</v>
      </c>
    </row>
    <row r="35" spans="1:16" x14ac:dyDescent="0.25">
      <c r="A35" s="3" t="s">
        <v>10</v>
      </c>
      <c r="B35" s="3"/>
      <c r="C35" s="4">
        <v>180582</v>
      </c>
      <c r="D35" s="5" t="s">
        <v>118</v>
      </c>
      <c r="E35" s="6">
        <v>44008</v>
      </c>
      <c r="F35" s="6">
        <v>44377</v>
      </c>
      <c r="G35" s="7" t="s">
        <v>22</v>
      </c>
      <c r="H35" s="4" t="s">
        <v>23</v>
      </c>
      <c r="I35" s="4" t="s">
        <v>13</v>
      </c>
      <c r="J35" s="8">
        <v>44343</v>
      </c>
      <c r="K35" s="8" t="s">
        <v>63</v>
      </c>
      <c r="L35" s="5" t="s">
        <v>14</v>
      </c>
      <c r="M35" s="5" t="s">
        <v>15</v>
      </c>
      <c r="N35" s="5">
        <v>0</v>
      </c>
      <c r="O35" s="9">
        <f>YEAR(Table2[[#This Row],[Date of Joining]])</f>
        <v>2020</v>
      </c>
      <c r="P35" s="9" t="str">
        <f t="shared" ca="1" si="0"/>
        <v>5+ years</v>
      </c>
    </row>
    <row r="36" spans="1:16" x14ac:dyDescent="0.25">
      <c r="A36" s="3" t="s">
        <v>1</v>
      </c>
      <c r="B36" s="3"/>
      <c r="C36" s="4">
        <v>126718</v>
      </c>
      <c r="D36" s="5" t="s">
        <v>119</v>
      </c>
      <c r="E36" s="6">
        <v>44020</v>
      </c>
      <c r="F36" s="6"/>
      <c r="G36" s="7" t="s">
        <v>30</v>
      </c>
      <c r="H36" s="4" t="s">
        <v>23</v>
      </c>
      <c r="I36" s="4" t="s">
        <v>19</v>
      </c>
      <c r="J36" s="8">
        <v>44472</v>
      </c>
      <c r="K36" s="8" t="s">
        <v>63</v>
      </c>
      <c r="L36" s="5" t="s">
        <v>20</v>
      </c>
      <c r="M36" s="5" t="s">
        <v>15</v>
      </c>
      <c r="N36" s="5">
        <v>6.5</v>
      </c>
      <c r="O36" s="9">
        <f>YEAR(Table2[[#This Row],[Date of Joining]])</f>
        <v>2020</v>
      </c>
      <c r="P36" s="9" t="str">
        <f t="shared" ca="1" si="0"/>
        <v>5+ years</v>
      </c>
    </row>
    <row r="37" spans="1:16" x14ac:dyDescent="0.25">
      <c r="A37" s="3" t="s">
        <v>1</v>
      </c>
      <c r="B37" s="3"/>
      <c r="C37" s="4">
        <v>192425</v>
      </c>
      <c r="D37" s="5" t="s">
        <v>120</v>
      </c>
      <c r="E37" s="6">
        <v>44036</v>
      </c>
      <c r="F37" s="6"/>
      <c r="G37" s="7" t="s">
        <v>27</v>
      </c>
      <c r="H37" s="4" t="s">
        <v>23</v>
      </c>
      <c r="I37" s="4" t="s">
        <v>19</v>
      </c>
      <c r="J37" s="8">
        <v>44338</v>
      </c>
      <c r="K37" s="8" t="s">
        <v>63</v>
      </c>
      <c r="L37" s="5" t="s">
        <v>20</v>
      </c>
      <c r="M37" s="5" t="s">
        <v>21</v>
      </c>
      <c r="N37" s="5">
        <v>8</v>
      </c>
      <c r="O37" s="9">
        <f>YEAR(Table2[[#This Row],[Date of Joining]])</f>
        <v>2020</v>
      </c>
      <c r="P37" s="9" t="str">
        <f t="shared" ca="1" si="0"/>
        <v>5+ years</v>
      </c>
    </row>
    <row r="38" spans="1:16" x14ac:dyDescent="0.25">
      <c r="A38" s="3" t="s">
        <v>1</v>
      </c>
      <c r="B38" s="3"/>
      <c r="C38" s="4">
        <v>174008</v>
      </c>
      <c r="D38" s="5" t="s">
        <v>121</v>
      </c>
      <c r="E38" s="6">
        <v>44043</v>
      </c>
      <c r="F38" s="6"/>
      <c r="G38" s="7" t="s">
        <v>22</v>
      </c>
      <c r="H38" s="4" t="s">
        <v>23</v>
      </c>
      <c r="I38" s="4" t="s">
        <v>13</v>
      </c>
      <c r="J38" s="8">
        <v>44540</v>
      </c>
      <c r="K38" s="8" t="s">
        <v>63</v>
      </c>
      <c r="L38" s="5" t="s">
        <v>20</v>
      </c>
      <c r="M38" s="5" t="s">
        <v>15</v>
      </c>
      <c r="N38" s="5">
        <v>12</v>
      </c>
      <c r="O38" s="9">
        <f>YEAR(Table2[[#This Row],[Date of Joining]])</f>
        <v>2020</v>
      </c>
      <c r="P38" s="9" t="str">
        <f t="shared" ca="1" si="0"/>
        <v>5+ years</v>
      </c>
    </row>
    <row r="39" spans="1:16" x14ac:dyDescent="0.25">
      <c r="A39" s="3" t="s">
        <v>10</v>
      </c>
      <c r="B39" s="3"/>
      <c r="C39" s="4">
        <v>129735</v>
      </c>
      <c r="D39" s="5" t="s">
        <v>16</v>
      </c>
      <c r="E39" s="6">
        <v>44057</v>
      </c>
      <c r="F39" s="6">
        <v>44741</v>
      </c>
      <c r="G39" s="7" t="s">
        <v>30</v>
      </c>
      <c r="H39" s="4" t="s">
        <v>23</v>
      </c>
      <c r="I39" s="4" t="s">
        <v>19</v>
      </c>
      <c r="J39" s="8">
        <v>44211</v>
      </c>
      <c r="K39" s="8" t="s">
        <v>63</v>
      </c>
      <c r="L39" s="5" t="s">
        <v>20</v>
      </c>
      <c r="M39" s="5" t="s">
        <v>35</v>
      </c>
      <c r="N39" s="5">
        <v>5</v>
      </c>
      <c r="O39" s="9">
        <f>YEAR(Table2[[#This Row],[Date of Joining]])</f>
        <v>2020</v>
      </c>
      <c r="P39" s="9" t="str">
        <f t="shared" ca="1" si="0"/>
        <v>5+ years</v>
      </c>
    </row>
    <row r="40" spans="1:16" x14ac:dyDescent="0.25">
      <c r="A40" s="3" t="s">
        <v>10</v>
      </c>
      <c r="B40" s="3"/>
      <c r="C40" s="4">
        <v>117328</v>
      </c>
      <c r="D40" s="5" t="s">
        <v>122</v>
      </c>
      <c r="E40" s="6">
        <v>44069</v>
      </c>
      <c r="F40" s="6">
        <v>44681</v>
      </c>
      <c r="G40" s="7" t="s">
        <v>30</v>
      </c>
      <c r="H40" s="4" t="s">
        <v>23</v>
      </c>
      <c r="I40" s="4" t="s">
        <v>19</v>
      </c>
      <c r="J40" s="8">
        <v>44236</v>
      </c>
      <c r="K40" s="8" t="s">
        <v>66</v>
      </c>
      <c r="L40" s="5" t="s">
        <v>20</v>
      </c>
      <c r="M40" s="5" t="s">
        <v>35</v>
      </c>
      <c r="N40" s="5">
        <v>4.8</v>
      </c>
      <c r="O40" s="9">
        <f>YEAR(Table2[[#This Row],[Date of Joining]])</f>
        <v>2020</v>
      </c>
      <c r="P40" s="9" t="str">
        <f t="shared" ca="1" si="0"/>
        <v>5+ years</v>
      </c>
    </row>
    <row r="41" spans="1:16" x14ac:dyDescent="0.25">
      <c r="A41" s="3" t="s">
        <v>1</v>
      </c>
      <c r="B41" s="3"/>
      <c r="C41" s="4">
        <v>110646</v>
      </c>
      <c r="D41" s="5" t="s">
        <v>123</v>
      </c>
      <c r="E41" s="6">
        <v>44075</v>
      </c>
      <c r="F41" s="6"/>
      <c r="G41" s="5" t="s">
        <v>38</v>
      </c>
      <c r="H41" s="4" t="s">
        <v>23</v>
      </c>
      <c r="I41" s="4" t="s">
        <v>19</v>
      </c>
      <c r="J41" s="8">
        <v>44216</v>
      </c>
      <c r="K41" s="8" t="s">
        <v>66</v>
      </c>
      <c r="L41" s="5" t="s">
        <v>20</v>
      </c>
      <c r="M41" s="5" t="s">
        <v>21</v>
      </c>
      <c r="N41" s="5">
        <v>9</v>
      </c>
      <c r="O41" s="9">
        <f>YEAR(Table2[[#This Row],[Date of Joining]])</f>
        <v>2020</v>
      </c>
      <c r="P41" s="9" t="str">
        <f t="shared" ca="1" si="0"/>
        <v>5+ years</v>
      </c>
    </row>
    <row r="42" spans="1:16" x14ac:dyDescent="0.25">
      <c r="A42" s="3" t="s">
        <v>1</v>
      </c>
      <c r="B42" s="3"/>
      <c r="C42" s="4">
        <v>114446</v>
      </c>
      <c r="D42" s="5" t="s">
        <v>124</v>
      </c>
      <c r="E42" s="6">
        <v>44075</v>
      </c>
      <c r="F42" s="6"/>
      <c r="G42" s="5" t="s">
        <v>36</v>
      </c>
      <c r="H42" s="4" t="s">
        <v>23</v>
      </c>
      <c r="I42" s="4" t="s">
        <v>19</v>
      </c>
      <c r="J42" s="8">
        <v>44524</v>
      </c>
      <c r="K42" s="8" t="s">
        <v>66</v>
      </c>
      <c r="L42" s="5" t="s">
        <v>25</v>
      </c>
      <c r="M42" s="5" t="s">
        <v>21</v>
      </c>
      <c r="N42" s="5">
        <v>8</v>
      </c>
      <c r="O42" s="9">
        <f>YEAR(Table2[[#This Row],[Date of Joining]])</f>
        <v>2020</v>
      </c>
      <c r="P42" s="9" t="str">
        <f t="shared" ca="1" si="0"/>
        <v>5+ years</v>
      </c>
    </row>
    <row r="43" spans="1:16" x14ac:dyDescent="0.25">
      <c r="A43" s="3" t="s">
        <v>1</v>
      </c>
      <c r="B43" s="3"/>
      <c r="C43" s="4">
        <v>189125</v>
      </c>
      <c r="D43" s="5" t="s">
        <v>125</v>
      </c>
      <c r="E43" s="6">
        <v>44075</v>
      </c>
      <c r="F43" s="6"/>
      <c r="G43" s="7" t="s">
        <v>16</v>
      </c>
      <c r="H43" s="4" t="s">
        <v>23</v>
      </c>
      <c r="I43" s="4" t="s">
        <v>19</v>
      </c>
      <c r="J43" s="8">
        <v>44504</v>
      </c>
      <c r="K43" s="8" t="s">
        <v>66</v>
      </c>
      <c r="L43" s="5" t="s">
        <v>25</v>
      </c>
      <c r="M43" s="5" t="s">
        <v>35</v>
      </c>
      <c r="N43" s="5">
        <v>17</v>
      </c>
      <c r="O43" s="9">
        <f>YEAR(Table2[[#This Row],[Date of Joining]])</f>
        <v>2020</v>
      </c>
      <c r="P43" s="9" t="str">
        <f t="shared" ca="1" si="0"/>
        <v>5+ years</v>
      </c>
    </row>
    <row r="44" spans="1:16" x14ac:dyDescent="0.25">
      <c r="A44" s="3" t="s">
        <v>1</v>
      </c>
      <c r="B44" s="3" t="s">
        <v>60</v>
      </c>
      <c r="C44" s="4">
        <v>183930</v>
      </c>
      <c r="D44" s="5" t="s">
        <v>126</v>
      </c>
      <c r="E44" s="6">
        <v>44075</v>
      </c>
      <c r="F44" s="6"/>
      <c r="G44" s="7" t="s">
        <v>16</v>
      </c>
      <c r="H44" s="4" t="s">
        <v>23</v>
      </c>
      <c r="I44" s="4" t="s">
        <v>19</v>
      </c>
      <c r="J44" s="8">
        <v>44309</v>
      </c>
      <c r="K44" s="8" t="s">
        <v>66</v>
      </c>
      <c r="L44" s="5" t="s">
        <v>25</v>
      </c>
      <c r="M44" s="5" t="s">
        <v>15</v>
      </c>
      <c r="N44" s="5">
        <v>13</v>
      </c>
      <c r="O44" s="9">
        <f>YEAR(Table2[[#This Row],[Date of Joining]])</f>
        <v>2020</v>
      </c>
      <c r="P44" s="9" t="str">
        <f t="shared" ca="1" si="0"/>
        <v>5+ years</v>
      </c>
    </row>
    <row r="45" spans="1:16" x14ac:dyDescent="0.25">
      <c r="A45" s="3" t="s">
        <v>1</v>
      </c>
      <c r="B45" s="3"/>
      <c r="C45" s="4">
        <v>110730</v>
      </c>
      <c r="D45" s="5" t="s">
        <v>33</v>
      </c>
      <c r="E45" s="6">
        <v>44075</v>
      </c>
      <c r="F45" s="6"/>
      <c r="G45" s="5" t="s">
        <v>33</v>
      </c>
      <c r="H45" s="4" t="s">
        <v>23</v>
      </c>
      <c r="I45" s="4" t="s">
        <v>19</v>
      </c>
      <c r="J45" s="8">
        <v>44307</v>
      </c>
      <c r="K45" s="8" t="s">
        <v>63</v>
      </c>
      <c r="L45" s="5" t="s">
        <v>25</v>
      </c>
      <c r="M45" s="5" t="s">
        <v>21</v>
      </c>
      <c r="N45" s="5">
        <v>13</v>
      </c>
      <c r="O45" s="9">
        <f>YEAR(Table2[[#This Row],[Date of Joining]])</f>
        <v>2020</v>
      </c>
      <c r="P45" s="9" t="str">
        <f t="shared" ca="1" si="0"/>
        <v>5+ years</v>
      </c>
    </row>
    <row r="46" spans="1:16" x14ac:dyDescent="0.25">
      <c r="A46" s="3" t="s">
        <v>1</v>
      </c>
      <c r="B46" s="3"/>
      <c r="C46" s="4">
        <v>131079</v>
      </c>
      <c r="D46" s="5" t="s">
        <v>127</v>
      </c>
      <c r="E46" s="6">
        <v>44075</v>
      </c>
      <c r="F46" s="6"/>
      <c r="G46" s="7" t="s">
        <v>27</v>
      </c>
      <c r="H46" s="4" t="s">
        <v>23</v>
      </c>
      <c r="I46" s="4" t="s">
        <v>19</v>
      </c>
      <c r="J46" s="8">
        <v>44561</v>
      </c>
      <c r="K46" s="8" t="s">
        <v>63</v>
      </c>
      <c r="L46" s="5" t="s">
        <v>25</v>
      </c>
      <c r="M46" s="5" t="s">
        <v>35</v>
      </c>
      <c r="N46" s="5">
        <v>13</v>
      </c>
      <c r="O46" s="9">
        <f>YEAR(Table2[[#This Row],[Date of Joining]])</f>
        <v>2020</v>
      </c>
      <c r="P46" s="9" t="str">
        <f t="shared" ca="1" si="0"/>
        <v>5+ years</v>
      </c>
    </row>
    <row r="47" spans="1:16" x14ac:dyDescent="0.25">
      <c r="A47" s="3" t="s">
        <v>1</v>
      </c>
      <c r="B47" s="3"/>
      <c r="C47" s="4">
        <v>180612</v>
      </c>
      <c r="D47" s="5" t="s">
        <v>128</v>
      </c>
      <c r="E47" s="6">
        <v>44075</v>
      </c>
      <c r="F47" s="6"/>
      <c r="G47" s="7" t="s">
        <v>22</v>
      </c>
      <c r="H47" s="4" t="s">
        <v>23</v>
      </c>
      <c r="I47" s="4" t="s">
        <v>13</v>
      </c>
      <c r="J47" s="8">
        <v>44343</v>
      </c>
      <c r="K47" s="8" t="s">
        <v>63</v>
      </c>
      <c r="L47" s="5" t="s">
        <v>14</v>
      </c>
      <c r="M47" s="5" t="s">
        <v>15</v>
      </c>
      <c r="N47" s="5">
        <v>0</v>
      </c>
      <c r="O47" s="9">
        <f>YEAR(Table2[[#This Row],[Date of Joining]])</f>
        <v>2020</v>
      </c>
      <c r="P47" s="9" t="str">
        <f t="shared" ca="1" si="0"/>
        <v>5+ years</v>
      </c>
    </row>
    <row r="48" spans="1:16" x14ac:dyDescent="0.25">
      <c r="A48" s="3" t="s">
        <v>10</v>
      </c>
      <c r="B48" s="3"/>
      <c r="C48" s="4">
        <v>154702</v>
      </c>
      <c r="D48" s="5" t="s">
        <v>129</v>
      </c>
      <c r="E48" s="6">
        <v>44083</v>
      </c>
      <c r="F48" s="6">
        <v>45311</v>
      </c>
      <c r="G48" s="7" t="s">
        <v>30</v>
      </c>
      <c r="H48" s="4" t="s">
        <v>23</v>
      </c>
      <c r="I48" s="4" t="s">
        <v>13</v>
      </c>
      <c r="J48" s="8">
        <v>44507</v>
      </c>
      <c r="K48" s="8" t="s">
        <v>66</v>
      </c>
      <c r="L48" s="5" t="s">
        <v>14</v>
      </c>
      <c r="M48" s="5" t="s">
        <v>35</v>
      </c>
      <c r="N48" s="5">
        <v>0</v>
      </c>
      <c r="O48" s="9">
        <f>YEAR(Table2[[#This Row],[Date of Joining]])</f>
        <v>2020</v>
      </c>
      <c r="P48" s="9" t="str">
        <f t="shared" ca="1" si="0"/>
        <v>5+ years</v>
      </c>
    </row>
    <row r="49" spans="1:16" x14ac:dyDescent="0.25">
      <c r="A49" s="3" t="s">
        <v>1</v>
      </c>
      <c r="B49" s="3"/>
      <c r="C49" s="4">
        <v>101286</v>
      </c>
      <c r="D49" s="5" t="s">
        <v>130</v>
      </c>
      <c r="E49" s="6">
        <v>44083</v>
      </c>
      <c r="F49" s="6"/>
      <c r="G49" s="7" t="s">
        <v>30</v>
      </c>
      <c r="H49" s="4" t="s">
        <v>23</v>
      </c>
      <c r="I49" s="4" t="s">
        <v>19</v>
      </c>
      <c r="J49" s="8">
        <v>44269</v>
      </c>
      <c r="K49" s="8" t="s">
        <v>63</v>
      </c>
      <c r="L49" s="5" t="s">
        <v>25</v>
      </c>
      <c r="M49" s="5" t="s">
        <v>29</v>
      </c>
      <c r="N49" s="5">
        <v>14</v>
      </c>
      <c r="O49" s="9">
        <f>YEAR(Table2[[#This Row],[Date of Joining]])</f>
        <v>2020</v>
      </c>
      <c r="P49" s="9" t="str">
        <f t="shared" ca="1" si="0"/>
        <v>5+ years</v>
      </c>
    </row>
    <row r="50" spans="1:16" x14ac:dyDescent="0.25">
      <c r="A50" s="3" t="s">
        <v>10</v>
      </c>
      <c r="B50" s="3"/>
      <c r="C50" s="4">
        <v>137383</v>
      </c>
      <c r="D50" s="5" t="s">
        <v>27</v>
      </c>
      <c r="E50" s="6">
        <v>44090</v>
      </c>
      <c r="F50" s="6">
        <v>44258</v>
      </c>
      <c r="G50" s="5" t="s">
        <v>38</v>
      </c>
      <c r="H50" s="4" t="s">
        <v>23</v>
      </c>
      <c r="I50" s="4" t="s">
        <v>19</v>
      </c>
      <c r="J50" s="8">
        <v>44220</v>
      </c>
      <c r="K50" s="8" t="s">
        <v>63</v>
      </c>
      <c r="L50" s="5" t="s">
        <v>25</v>
      </c>
      <c r="M50" s="5" t="s">
        <v>35</v>
      </c>
      <c r="N50" s="5">
        <v>9</v>
      </c>
      <c r="O50" s="9">
        <f>YEAR(Table2[[#This Row],[Date of Joining]])</f>
        <v>2020</v>
      </c>
      <c r="P50" s="9" t="str">
        <f t="shared" ca="1" si="0"/>
        <v>5+ years</v>
      </c>
    </row>
    <row r="51" spans="1:16" x14ac:dyDescent="0.25">
      <c r="A51" s="3" t="s">
        <v>10</v>
      </c>
      <c r="B51" s="3"/>
      <c r="C51" s="4">
        <v>185704</v>
      </c>
      <c r="D51" s="5" t="s">
        <v>30</v>
      </c>
      <c r="E51" s="6">
        <v>44090</v>
      </c>
      <c r="F51" s="6">
        <v>44395</v>
      </c>
      <c r="G51" s="7" t="s">
        <v>22</v>
      </c>
      <c r="H51" s="4" t="s">
        <v>23</v>
      </c>
      <c r="I51" s="4" t="s">
        <v>19</v>
      </c>
      <c r="J51" s="8">
        <v>44536</v>
      </c>
      <c r="K51" s="8" t="s">
        <v>63</v>
      </c>
      <c r="L51" s="5" t="s">
        <v>14</v>
      </c>
      <c r="M51" s="5" t="s">
        <v>26</v>
      </c>
      <c r="N51" s="5">
        <v>0</v>
      </c>
      <c r="O51" s="9">
        <f>YEAR(Table2[[#This Row],[Date of Joining]])</f>
        <v>2020</v>
      </c>
      <c r="P51" s="9" t="str">
        <f t="shared" ca="1" si="0"/>
        <v>5+ years</v>
      </c>
    </row>
    <row r="52" spans="1:16" x14ac:dyDescent="0.25">
      <c r="A52" s="3" t="s">
        <v>10</v>
      </c>
      <c r="B52" s="3"/>
      <c r="C52" s="4">
        <v>151727</v>
      </c>
      <c r="D52" s="5" t="s">
        <v>131</v>
      </c>
      <c r="E52" s="6">
        <v>44090</v>
      </c>
      <c r="F52" s="6">
        <v>45106</v>
      </c>
      <c r="G52" s="7" t="s">
        <v>22</v>
      </c>
      <c r="H52" s="4" t="s">
        <v>23</v>
      </c>
      <c r="I52" s="4" t="s">
        <v>19</v>
      </c>
      <c r="J52" s="8">
        <v>44230</v>
      </c>
      <c r="K52" s="8" t="s">
        <v>63</v>
      </c>
      <c r="L52" s="5" t="s">
        <v>14</v>
      </c>
      <c r="M52" s="5" t="s">
        <v>26</v>
      </c>
      <c r="N52" s="5">
        <v>0</v>
      </c>
      <c r="O52" s="9">
        <f>YEAR(Table2[[#This Row],[Date of Joining]])</f>
        <v>2020</v>
      </c>
      <c r="P52" s="9" t="str">
        <f t="shared" ca="1" si="0"/>
        <v>5+ years</v>
      </c>
    </row>
    <row r="53" spans="1:16" x14ac:dyDescent="0.25">
      <c r="A53" s="3" t="s">
        <v>10</v>
      </c>
      <c r="B53" s="3"/>
      <c r="C53" s="4">
        <v>135167</v>
      </c>
      <c r="D53" s="5" t="s">
        <v>132</v>
      </c>
      <c r="E53" s="6">
        <v>44090</v>
      </c>
      <c r="F53" s="6">
        <v>45195</v>
      </c>
      <c r="G53" s="7" t="s">
        <v>22</v>
      </c>
      <c r="H53" s="4" t="s">
        <v>23</v>
      </c>
      <c r="I53" s="4" t="s">
        <v>19</v>
      </c>
      <c r="J53" s="8">
        <v>44283</v>
      </c>
      <c r="K53" s="8" t="s">
        <v>63</v>
      </c>
      <c r="L53" s="5" t="s">
        <v>14</v>
      </c>
      <c r="M53" s="5" t="s">
        <v>26</v>
      </c>
      <c r="N53" s="5">
        <v>0</v>
      </c>
      <c r="O53" s="9">
        <f>YEAR(Table2[[#This Row],[Date of Joining]])</f>
        <v>2020</v>
      </c>
      <c r="P53" s="9" t="str">
        <f t="shared" ca="1" si="0"/>
        <v>5+ years</v>
      </c>
    </row>
    <row r="54" spans="1:16" x14ac:dyDescent="0.25">
      <c r="A54" s="3" t="s">
        <v>10</v>
      </c>
      <c r="B54" s="3"/>
      <c r="C54" s="4">
        <v>100971</v>
      </c>
      <c r="D54" s="5" t="s">
        <v>133</v>
      </c>
      <c r="E54" s="6">
        <v>44090</v>
      </c>
      <c r="F54" s="6">
        <v>45283</v>
      </c>
      <c r="G54" s="7" t="s">
        <v>22</v>
      </c>
      <c r="H54" s="4" t="s">
        <v>23</v>
      </c>
      <c r="I54" s="4" t="s">
        <v>19</v>
      </c>
      <c r="J54" s="8">
        <v>44447</v>
      </c>
      <c r="K54" s="8" t="s">
        <v>63</v>
      </c>
      <c r="L54" s="5" t="s">
        <v>14</v>
      </c>
      <c r="M54" s="5" t="s">
        <v>26</v>
      </c>
      <c r="N54" s="5">
        <v>0</v>
      </c>
      <c r="O54" s="9">
        <f>YEAR(Table2[[#This Row],[Date of Joining]])</f>
        <v>2020</v>
      </c>
      <c r="P54" s="9" t="str">
        <f t="shared" ca="1" si="0"/>
        <v>5+ years</v>
      </c>
    </row>
    <row r="55" spans="1:16" x14ac:dyDescent="0.25">
      <c r="A55" s="3" t="s">
        <v>10</v>
      </c>
      <c r="B55" s="3"/>
      <c r="C55" s="4">
        <v>145787</v>
      </c>
      <c r="D55" s="5" t="s">
        <v>134</v>
      </c>
      <c r="E55" s="6">
        <v>44090</v>
      </c>
      <c r="F55" s="6">
        <v>45318</v>
      </c>
      <c r="G55" s="7" t="s">
        <v>22</v>
      </c>
      <c r="H55" s="4" t="s">
        <v>23</v>
      </c>
      <c r="I55" s="4" t="s">
        <v>13</v>
      </c>
      <c r="J55" s="8">
        <v>44483</v>
      </c>
      <c r="K55" s="8" t="s">
        <v>66</v>
      </c>
      <c r="L55" s="5" t="s">
        <v>14</v>
      </c>
      <c r="M55" s="5" t="s">
        <v>26</v>
      </c>
      <c r="N55" s="5">
        <v>0</v>
      </c>
      <c r="O55" s="9">
        <f>YEAR(Table2[[#This Row],[Date of Joining]])</f>
        <v>2020</v>
      </c>
      <c r="P55" s="9" t="str">
        <f t="shared" ca="1" si="0"/>
        <v>5+ years</v>
      </c>
    </row>
    <row r="56" spans="1:16" x14ac:dyDescent="0.25">
      <c r="A56" s="3" t="s">
        <v>10</v>
      </c>
      <c r="B56" s="3"/>
      <c r="C56" s="4">
        <v>170924</v>
      </c>
      <c r="D56" s="5" t="s">
        <v>135</v>
      </c>
      <c r="E56" s="6">
        <v>44090</v>
      </c>
      <c r="F56" s="6">
        <v>45368</v>
      </c>
      <c r="G56" s="5" t="s">
        <v>36</v>
      </c>
      <c r="H56" s="4" t="s">
        <v>23</v>
      </c>
      <c r="I56" s="4" t="s">
        <v>19</v>
      </c>
      <c r="J56" s="8">
        <v>44470</v>
      </c>
      <c r="K56" s="8" t="s">
        <v>63</v>
      </c>
      <c r="L56" s="5" t="s">
        <v>14</v>
      </c>
      <c r="M56" s="5" t="s">
        <v>26</v>
      </c>
      <c r="N56" s="5">
        <v>0</v>
      </c>
      <c r="O56" s="9">
        <f>YEAR(Table2[[#This Row],[Date of Joining]])</f>
        <v>2020</v>
      </c>
      <c r="P56" s="9" t="str">
        <f t="shared" ca="1" si="0"/>
        <v>5+ years</v>
      </c>
    </row>
    <row r="57" spans="1:16" x14ac:dyDescent="0.25">
      <c r="A57" s="3" t="s">
        <v>10</v>
      </c>
      <c r="B57" s="3"/>
      <c r="C57" s="4">
        <v>129573</v>
      </c>
      <c r="D57" s="5" t="s">
        <v>136</v>
      </c>
      <c r="E57" s="6">
        <v>44090</v>
      </c>
      <c r="F57" s="6">
        <v>45564</v>
      </c>
      <c r="G57" s="7" t="s">
        <v>16</v>
      </c>
      <c r="H57" s="4" t="s">
        <v>23</v>
      </c>
      <c r="I57" s="4" t="s">
        <v>13</v>
      </c>
      <c r="J57" s="8">
        <v>44455</v>
      </c>
      <c r="K57" s="8" t="s">
        <v>63</v>
      </c>
      <c r="L57" s="5" t="s">
        <v>20</v>
      </c>
      <c r="M57" s="5" t="s">
        <v>26</v>
      </c>
      <c r="N57" s="5">
        <v>0</v>
      </c>
      <c r="O57" s="9">
        <f>YEAR(Table2[[#This Row],[Date of Joining]])</f>
        <v>2020</v>
      </c>
      <c r="P57" s="9" t="str">
        <f t="shared" ca="1" si="0"/>
        <v>5+ years</v>
      </c>
    </row>
    <row r="58" spans="1:16" x14ac:dyDescent="0.25">
      <c r="A58" s="3" t="s">
        <v>1</v>
      </c>
      <c r="B58" s="3"/>
      <c r="C58" s="4">
        <v>115742</v>
      </c>
      <c r="D58" s="5" t="s">
        <v>137</v>
      </c>
      <c r="E58" s="6">
        <v>44090</v>
      </c>
      <c r="F58" s="6"/>
      <c r="G58" s="7" t="s">
        <v>16</v>
      </c>
      <c r="H58" s="4" t="s">
        <v>23</v>
      </c>
      <c r="I58" s="4" t="s">
        <v>13</v>
      </c>
      <c r="J58" s="8">
        <v>44462</v>
      </c>
      <c r="K58" s="8" t="s">
        <v>63</v>
      </c>
      <c r="L58" s="5" t="s">
        <v>20</v>
      </c>
      <c r="M58" s="5" t="s">
        <v>26</v>
      </c>
      <c r="N58" s="5">
        <v>0</v>
      </c>
      <c r="O58" s="9">
        <f>YEAR(Table2[[#This Row],[Date of Joining]])</f>
        <v>2020</v>
      </c>
      <c r="P58" s="9" t="str">
        <f t="shared" ca="1" si="0"/>
        <v>5+ years</v>
      </c>
    </row>
    <row r="59" spans="1:16" x14ac:dyDescent="0.25">
      <c r="A59" s="3" t="s">
        <v>1</v>
      </c>
      <c r="B59" s="3"/>
      <c r="C59" s="4">
        <v>126064</v>
      </c>
      <c r="D59" s="5" t="s">
        <v>138</v>
      </c>
      <c r="E59" s="6">
        <v>44090</v>
      </c>
      <c r="F59" s="6"/>
      <c r="G59" s="7" t="s">
        <v>16</v>
      </c>
      <c r="H59" s="4" t="s">
        <v>23</v>
      </c>
      <c r="I59" s="4" t="s">
        <v>13</v>
      </c>
      <c r="J59" s="8">
        <v>44346</v>
      </c>
      <c r="K59" s="8" t="s">
        <v>63</v>
      </c>
      <c r="L59" s="5" t="s">
        <v>20</v>
      </c>
      <c r="M59" s="5" t="s">
        <v>26</v>
      </c>
      <c r="N59" s="5">
        <v>0</v>
      </c>
      <c r="O59" s="9">
        <f>YEAR(Table2[[#This Row],[Date of Joining]])</f>
        <v>2020</v>
      </c>
      <c r="P59" s="9" t="str">
        <f t="shared" ca="1" si="0"/>
        <v>5+ years</v>
      </c>
    </row>
    <row r="60" spans="1:16" x14ac:dyDescent="0.25">
      <c r="A60" s="3" t="s">
        <v>1</v>
      </c>
      <c r="B60" s="3"/>
      <c r="C60" s="4">
        <v>173140</v>
      </c>
      <c r="D60" s="5" t="s">
        <v>139</v>
      </c>
      <c r="E60" s="6">
        <v>44090</v>
      </c>
      <c r="F60" s="6"/>
      <c r="G60" s="5" t="s">
        <v>36</v>
      </c>
      <c r="H60" s="4" t="s">
        <v>23</v>
      </c>
      <c r="I60" s="4" t="s">
        <v>19</v>
      </c>
      <c r="J60" s="8">
        <v>44390</v>
      </c>
      <c r="K60" s="8" t="s">
        <v>63</v>
      </c>
      <c r="L60" s="5" t="s">
        <v>20</v>
      </c>
      <c r="M60" s="5" t="s">
        <v>26</v>
      </c>
      <c r="N60" s="5">
        <v>0</v>
      </c>
      <c r="O60" s="9">
        <f>YEAR(Table2[[#This Row],[Date of Joining]])</f>
        <v>2020</v>
      </c>
      <c r="P60" s="9" t="str">
        <f t="shared" ca="1" si="0"/>
        <v>5+ years</v>
      </c>
    </row>
    <row r="61" spans="1:16" x14ac:dyDescent="0.25">
      <c r="A61" s="3" t="s">
        <v>10</v>
      </c>
      <c r="B61" s="3"/>
      <c r="C61" s="4">
        <v>181592</v>
      </c>
      <c r="D61" s="5" t="s">
        <v>140</v>
      </c>
      <c r="E61" s="6">
        <v>44120</v>
      </c>
      <c r="F61" s="6">
        <v>45325</v>
      </c>
      <c r="G61" s="5" t="s">
        <v>36</v>
      </c>
      <c r="H61" s="4" t="s">
        <v>23</v>
      </c>
      <c r="I61" s="4" t="s">
        <v>19</v>
      </c>
      <c r="J61" s="8">
        <v>44220</v>
      </c>
      <c r="K61" s="8" t="s">
        <v>66</v>
      </c>
      <c r="L61" s="5" t="s">
        <v>25</v>
      </c>
      <c r="M61" s="5" t="s">
        <v>26</v>
      </c>
      <c r="N61" s="5">
        <v>12</v>
      </c>
      <c r="O61" s="9">
        <f>YEAR(Table2[[#This Row],[Date of Joining]])</f>
        <v>2020</v>
      </c>
      <c r="P61" s="9" t="str">
        <f t="shared" ca="1" si="0"/>
        <v>5+ years</v>
      </c>
    </row>
    <row r="62" spans="1:16" x14ac:dyDescent="0.25">
      <c r="A62" s="3" t="s">
        <v>10</v>
      </c>
      <c r="B62" s="3"/>
      <c r="C62" s="4">
        <v>144158</v>
      </c>
      <c r="D62" s="5" t="s">
        <v>141</v>
      </c>
      <c r="E62" s="6">
        <v>44163</v>
      </c>
      <c r="F62" s="6">
        <v>45016</v>
      </c>
      <c r="G62" s="7" t="s">
        <v>27</v>
      </c>
      <c r="H62" s="4" t="s">
        <v>23</v>
      </c>
      <c r="I62" s="4" t="s">
        <v>19</v>
      </c>
      <c r="J62" s="8">
        <v>44296</v>
      </c>
      <c r="K62" s="8" t="s">
        <v>66</v>
      </c>
      <c r="L62" s="5" t="s">
        <v>20</v>
      </c>
      <c r="M62" s="5" t="s">
        <v>15</v>
      </c>
      <c r="N62" s="5">
        <v>6</v>
      </c>
      <c r="O62" s="9">
        <f>YEAR(Table2[[#This Row],[Date of Joining]])</f>
        <v>2020</v>
      </c>
      <c r="P62" s="9" t="str">
        <f t="shared" ca="1" si="0"/>
        <v>5+ years</v>
      </c>
    </row>
    <row r="63" spans="1:16" x14ac:dyDescent="0.25">
      <c r="A63" s="3" t="s">
        <v>1</v>
      </c>
      <c r="B63" s="3"/>
      <c r="C63" s="4">
        <v>178955</v>
      </c>
      <c r="D63" s="5" t="s">
        <v>142</v>
      </c>
      <c r="E63" s="6">
        <v>44167</v>
      </c>
      <c r="F63" s="6"/>
      <c r="G63" s="5" t="s">
        <v>36</v>
      </c>
      <c r="H63" s="4" t="s">
        <v>23</v>
      </c>
      <c r="I63" s="4" t="s">
        <v>19</v>
      </c>
      <c r="J63" s="8">
        <v>44273</v>
      </c>
      <c r="K63" s="8" t="s">
        <v>63</v>
      </c>
      <c r="L63" s="5" t="s">
        <v>20</v>
      </c>
      <c r="M63" s="5" t="s">
        <v>15</v>
      </c>
      <c r="N63" s="5">
        <v>8</v>
      </c>
      <c r="O63" s="9">
        <f>YEAR(Table2[[#This Row],[Date of Joining]])</f>
        <v>2020</v>
      </c>
      <c r="P63" s="9" t="str">
        <f t="shared" ca="1" si="0"/>
        <v>5+ years</v>
      </c>
    </row>
    <row r="64" spans="1:16" x14ac:dyDescent="0.25">
      <c r="A64" s="3" t="s">
        <v>10</v>
      </c>
      <c r="B64" s="3"/>
      <c r="C64" s="4">
        <v>110616</v>
      </c>
      <c r="D64" s="5" t="s">
        <v>143</v>
      </c>
      <c r="E64" s="6">
        <v>44186</v>
      </c>
      <c r="F64" s="6">
        <v>44651</v>
      </c>
      <c r="G64" s="7" t="s">
        <v>27</v>
      </c>
      <c r="H64" s="4" t="s">
        <v>23</v>
      </c>
      <c r="I64" s="4" t="s">
        <v>19</v>
      </c>
      <c r="J64" s="8">
        <v>44216</v>
      </c>
      <c r="K64" s="8" t="s">
        <v>66</v>
      </c>
      <c r="L64" s="5" t="s">
        <v>20</v>
      </c>
      <c r="M64" s="5" t="s">
        <v>21</v>
      </c>
      <c r="N64" s="5">
        <v>9</v>
      </c>
      <c r="O64" s="9">
        <f>YEAR(Table2[[#This Row],[Date of Joining]])</f>
        <v>2020</v>
      </c>
      <c r="P64" s="9" t="str">
        <f t="shared" ca="1" si="0"/>
        <v>5+ years</v>
      </c>
    </row>
    <row r="65" spans="1:16" x14ac:dyDescent="0.25">
      <c r="A65" s="3" t="s">
        <v>10</v>
      </c>
      <c r="B65" s="3"/>
      <c r="C65" s="4">
        <v>120981</v>
      </c>
      <c r="D65" s="5" t="s">
        <v>144</v>
      </c>
      <c r="E65" s="6">
        <v>44191</v>
      </c>
      <c r="F65" s="6">
        <v>45108</v>
      </c>
      <c r="G65" s="7" t="s">
        <v>27</v>
      </c>
      <c r="H65" s="4" t="s">
        <v>23</v>
      </c>
      <c r="I65" s="4" t="s">
        <v>13</v>
      </c>
      <c r="J65" s="8">
        <v>44399</v>
      </c>
      <c r="K65" s="8" t="s">
        <v>63</v>
      </c>
      <c r="L65" s="5" t="s">
        <v>14</v>
      </c>
      <c r="M65" s="5" t="s">
        <v>35</v>
      </c>
      <c r="N65" s="5">
        <v>0</v>
      </c>
      <c r="O65" s="9">
        <f>YEAR(Table2[[#This Row],[Date of Joining]])</f>
        <v>2020</v>
      </c>
      <c r="P65" s="9" t="str">
        <f t="shared" ca="1" si="0"/>
        <v>5+ years</v>
      </c>
    </row>
    <row r="66" spans="1:16" x14ac:dyDescent="0.25">
      <c r="A66" s="3" t="s">
        <v>10</v>
      </c>
      <c r="B66" s="3"/>
      <c r="C66" s="4">
        <v>140182</v>
      </c>
      <c r="D66" s="5" t="s">
        <v>145</v>
      </c>
      <c r="E66" s="6">
        <v>44218</v>
      </c>
      <c r="F66" s="6">
        <v>44635</v>
      </c>
      <c r="G66" s="7" t="s">
        <v>22</v>
      </c>
      <c r="H66" s="4" t="s">
        <v>23</v>
      </c>
      <c r="I66" s="4" t="s">
        <v>13</v>
      </c>
      <c r="J66" s="8">
        <v>44235</v>
      </c>
      <c r="K66" s="8" t="s">
        <v>63</v>
      </c>
      <c r="L66" s="5" t="s">
        <v>14</v>
      </c>
      <c r="M66" s="5" t="s">
        <v>35</v>
      </c>
      <c r="N66" s="5">
        <v>0</v>
      </c>
      <c r="O66" s="9">
        <f>YEAR(Table2[[#This Row],[Date of Joining]])</f>
        <v>2021</v>
      </c>
      <c r="P66" s="9" t="str">
        <f t="shared" ref="P66:P129" ca="1" si="1">IF(DATEDIF(E66,TODAY(),"Y")&gt;=5,"5+ years",
IF(DATEDIF(E66,TODAY(),"Y")&gt;=4,"4+ years",
IF(DATEDIF(E66,TODAY(),"Y")&gt;=3,"3+ years",
IF(DATEDIF(E66,TODAY(),"Y")&gt;=2,"2+ years",
IF(DATEDIF(E66,TODAY(),"Y")&gt;=1,"1+ years","&lt;1 year")))))</f>
        <v>5+ years</v>
      </c>
    </row>
    <row r="67" spans="1:16" x14ac:dyDescent="0.25">
      <c r="A67" s="3" t="s">
        <v>10</v>
      </c>
      <c r="B67" s="3"/>
      <c r="C67" s="4">
        <v>174057</v>
      </c>
      <c r="D67" s="5" t="s">
        <v>146</v>
      </c>
      <c r="E67" s="6">
        <v>44218</v>
      </c>
      <c r="F67" s="6">
        <v>44965</v>
      </c>
      <c r="G67" s="7" t="s">
        <v>22</v>
      </c>
      <c r="H67" s="4" t="s">
        <v>23</v>
      </c>
      <c r="I67" s="4" t="s">
        <v>19</v>
      </c>
      <c r="J67" s="8">
        <v>44511</v>
      </c>
      <c r="K67" s="8" t="s">
        <v>66</v>
      </c>
      <c r="L67" s="5" t="s">
        <v>20</v>
      </c>
      <c r="M67" s="5" t="s">
        <v>35</v>
      </c>
      <c r="N67" s="5">
        <v>6</v>
      </c>
      <c r="O67" s="9">
        <f>YEAR(Table2[[#This Row],[Date of Joining]])</f>
        <v>2021</v>
      </c>
      <c r="P67" s="9" t="str">
        <f t="shared" ca="1" si="1"/>
        <v>5+ years</v>
      </c>
    </row>
    <row r="68" spans="1:16" x14ac:dyDescent="0.25">
      <c r="A68" s="3" t="s">
        <v>10</v>
      </c>
      <c r="B68" s="3"/>
      <c r="C68" s="4">
        <v>124194</v>
      </c>
      <c r="D68" s="5" t="s">
        <v>147</v>
      </c>
      <c r="E68" s="6">
        <v>44225</v>
      </c>
      <c r="F68" s="6">
        <v>44630</v>
      </c>
      <c r="G68" s="7" t="s">
        <v>16</v>
      </c>
      <c r="H68" s="4" t="s">
        <v>23</v>
      </c>
      <c r="I68" s="4" t="s">
        <v>19</v>
      </c>
      <c r="J68" s="8">
        <v>44221</v>
      </c>
      <c r="K68" s="8" t="s">
        <v>66</v>
      </c>
      <c r="L68" s="5" t="s">
        <v>25</v>
      </c>
      <c r="M68" s="5" t="s">
        <v>15</v>
      </c>
      <c r="N68" s="5">
        <v>13</v>
      </c>
      <c r="O68" s="9">
        <f>YEAR(Table2[[#This Row],[Date of Joining]])</f>
        <v>2021</v>
      </c>
      <c r="P68" s="9" t="str">
        <f t="shared" ca="1" si="1"/>
        <v>5+ years</v>
      </c>
    </row>
    <row r="69" spans="1:16" x14ac:dyDescent="0.25">
      <c r="A69" s="3" t="s">
        <v>10</v>
      </c>
      <c r="B69" s="3"/>
      <c r="C69" s="4">
        <v>185420</v>
      </c>
      <c r="D69" s="5" t="s">
        <v>148</v>
      </c>
      <c r="E69" s="6">
        <v>44246</v>
      </c>
      <c r="F69" s="6">
        <v>45199</v>
      </c>
      <c r="G69" s="5" t="s">
        <v>33</v>
      </c>
      <c r="H69" s="4" t="s">
        <v>23</v>
      </c>
      <c r="I69" s="4" t="s">
        <v>19</v>
      </c>
      <c r="J69" s="8">
        <v>44371</v>
      </c>
      <c r="K69" s="8" t="s">
        <v>66</v>
      </c>
      <c r="L69" s="5" t="s">
        <v>20</v>
      </c>
      <c r="M69" s="5" t="s">
        <v>29</v>
      </c>
      <c r="N69" s="5">
        <v>5</v>
      </c>
      <c r="O69" s="9">
        <f>YEAR(Table2[[#This Row],[Date of Joining]])</f>
        <v>2021</v>
      </c>
      <c r="P69" s="9" t="str">
        <f t="shared" ca="1" si="1"/>
        <v>5+ years</v>
      </c>
    </row>
    <row r="70" spans="1:16" x14ac:dyDescent="0.25">
      <c r="A70" s="3" t="s">
        <v>10</v>
      </c>
      <c r="B70" s="3"/>
      <c r="C70" s="4">
        <v>184945</v>
      </c>
      <c r="D70" s="5" t="s">
        <v>149</v>
      </c>
      <c r="E70" s="6">
        <v>44251</v>
      </c>
      <c r="F70" s="6">
        <v>44748</v>
      </c>
      <c r="G70" s="7" t="s">
        <v>16</v>
      </c>
      <c r="H70" s="4" t="s">
        <v>23</v>
      </c>
      <c r="I70" s="4" t="s">
        <v>19</v>
      </c>
      <c r="J70" s="8">
        <v>44466</v>
      </c>
      <c r="K70" s="8" t="s">
        <v>66</v>
      </c>
      <c r="L70" s="5" t="s">
        <v>20</v>
      </c>
      <c r="M70" s="5" t="s">
        <v>15</v>
      </c>
      <c r="N70" s="5">
        <v>10</v>
      </c>
      <c r="O70" s="9">
        <f>YEAR(Table2[[#This Row],[Date of Joining]])</f>
        <v>2021</v>
      </c>
      <c r="P70" s="9" t="str">
        <f t="shared" ca="1" si="1"/>
        <v>5+ years</v>
      </c>
    </row>
    <row r="71" spans="1:16" x14ac:dyDescent="0.25">
      <c r="A71" s="3" t="s">
        <v>1</v>
      </c>
      <c r="B71" s="3"/>
      <c r="C71" s="4">
        <v>129852</v>
      </c>
      <c r="D71" s="5" t="s">
        <v>150</v>
      </c>
      <c r="E71" s="6">
        <v>44257</v>
      </c>
      <c r="F71" s="6"/>
      <c r="G71" s="7" t="s">
        <v>22</v>
      </c>
      <c r="H71" s="4" t="s">
        <v>23</v>
      </c>
      <c r="I71" s="4" t="s">
        <v>19</v>
      </c>
      <c r="J71" s="8">
        <v>44200</v>
      </c>
      <c r="K71" s="8" t="s">
        <v>63</v>
      </c>
      <c r="L71" s="5" t="s">
        <v>25</v>
      </c>
      <c r="M71" s="5" t="s">
        <v>35</v>
      </c>
      <c r="N71" s="5">
        <v>10</v>
      </c>
      <c r="O71" s="9">
        <f>YEAR(Table2[[#This Row],[Date of Joining]])</f>
        <v>2021</v>
      </c>
      <c r="P71" s="9" t="str">
        <f t="shared" ca="1" si="1"/>
        <v>5+ years</v>
      </c>
    </row>
    <row r="72" spans="1:16" x14ac:dyDescent="0.25">
      <c r="A72" s="3" t="s">
        <v>10</v>
      </c>
      <c r="B72" s="3"/>
      <c r="C72" s="4">
        <v>139272</v>
      </c>
      <c r="D72" s="5" t="s">
        <v>151</v>
      </c>
      <c r="E72" s="6">
        <v>44264</v>
      </c>
      <c r="F72" s="6">
        <v>45107</v>
      </c>
      <c r="G72" s="7" t="s">
        <v>27</v>
      </c>
      <c r="H72" s="4" t="s">
        <v>23</v>
      </c>
      <c r="I72" s="4" t="s">
        <v>13</v>
      </c>
      <c r="J72" s="8">
        <v>44363</v>
      </c>
      <c r="K72" s="8" t="s">
        <v>66</v>
      </c>
      <c r="L72" s="5" t="s">
        <v>20</v>
      </c>
      <c r="M72" s="5" t="s">
        <v>35</v>
      </c>
      <c r="N72" s="5">
        <v>8</v>
      </c>
      <c r="O72" s="9">
        <f>YEAR(Table2[[#This Row],[Date of Joining]])</f>
        <v>2021</v>
      </c>
      <c r="P72" s="9" t="str">
        <f t="shared" ca="1" si="1"/>
        <v>5+ years</v>
      </c>
    </row>
    <row r="73" spans="1:16" x14ac:dyDescent="0.25">
      <c r="A73" s="3" t="s">
        <v>1</v>
      </c>
      <c r="B73" s="3"/>
      <c r="C73" s="4">
        <v>194976</v>
      </c>
      <c r="D73" s="5" t="s">
        <v>152</v>
      </c>
      <c r="E73" s="6">
        <v>44271</v>
      </c>
      <c r="F73" s="6"/>
      <c r="G73" s="7" t="s">
        <v>22</v>
      </c>
      <c r="H73" s="4" t="s">
        <v>23</v>
      </c>
      <c r="I73" s="4" t="s">
        <v>13</v>
      </c>
      <c r="J73" s="8">
        <v>44200</v>
      </c>
      <c r="K73" s="8" t="s">
        <v>63</v>
      </c>
      <c r="L73" s="5" t="s">
        <v>20</v>
      </c>
      <c r="M73" s="5" t="s">
        <v>35</v>
      </c>
      <c r="N73" s="5">
        <v>3.5</v>
      </c>
      <c r="O73" s="9">
        <f>YEAR(Table2[[#This Row],[Date of Joining]])</f>
        <v>2021</v>
      </c>
      <c r="P73" s="9" t="str">
        <f t="shared" ca="1" si="1"/>
        <v>5+ years</v>
      </c>
    </row>
    <row r="74" spans="1:16" x14ac:dyDescent="0.25">
      <c r="A74" s="3" t="s">
        <v>1</v>
      </c>
      <c r="B74" s="3"/>
      <c r="C74" s="4">
        <v>132557</v>
      </c>
      <c r="D74" s="5" t="s">
        <v>153</v>
      </c>
      <c r="E74" s="6">
        <v>44343</v>
      </c>
      <c r="F74" s="6"/>
      <c r="G74" s="7" t="s">
        <v>16</v>
      </c>
      <c r="H74" s="4" t="s">
        <v>23</v>
      </c>
      <c r="I74" s="4" t="s">
        <v>13</v>
      </c>
      <c r="J74" s="8">
        <v>44429</v>
      </c>
      <c r="K74" s="8" t="s">
        <v>63</v>
      </c>
      <c r="L74" s="5" t="s">
        <v>20</v>
      </c>
      <c r="M74" s="5" t="s">
        <v>29</v>
      </c>
      <c r="N74" s="5">
        <v>7</v>
      </c>
      <c r="O74" s="9">
        <f>YEAR(Table2[[#This Row],[Date of Joining]])</f>
        <v>2021</v>
      </c>
      <c r="P74" s="9" t="str">
        <f t="shared" ca="1" si="1"/>
        <v>5+ years</v>
      </c>
    </row>
    <row r="75" spans="1:16" x14ac:dyDescent="0.25">
      <c r="A75" s="3" t="s">
        <v>10</v>
      </c>
      <c r="B75" s="3" t="s">
        <v>154</v>
      </c>
      <c r="C75" s="4">
        <v>187280</v>
      </c>
      <c r="D75" s="5" t="s">
        <v>155</v>
      </c>
      <c r="E75" s="6">
        <v>44418</v>
      </c>
      <c r="F75" s="6">
        <v>44611</v>
      </c>
      <c r="G75" s="7" t="s">
        <v>22</v>
      </c>
      <c r="H75" s="4" t="s">
        <v>23</v>
      </c>
      <c r="I75" s="4" t="s">
        <v>13</v>
      </c>
      <c r="J75" s="8">
        <v>44455</v>
      </c>
      <c r="K75" s="8" t="s">
        <v>63</v>
      </c>
      <c r="L75" s="5" t="s">
        <v>14</v>
      </c>
      <c r="M75" s="5" t="s">
        <v>35</v>
      </c>
      <c r="N75" s="5">
        <v>0</v>
      </c>
      <c r="O75" s="9">
        <f>YEAR(Table2[[#This Row],[Date of Joining]])</f>
        <v>2021</v>
      </c>
      <c r="P75" s="9" t="str">
        <f t="shared" ca="1" si="1"/>
        <v>5+ years</v>
      </c>
    </row>
    <row r="76" spans="1:16" x14ac:dyDescent="0.25">
      <c r="A76" s="3" t="s">
        <v>1</v>
      </c>
      <c r="B76" s="3" t="s">
        <v>154</v>
      </c>
      <c r="C76" s="4">
        <v>190396</v>
      </c>
      <c r="D76" s="5" t="s">
        <v>156</v>
      </c>
      <c r="E76" s="6">
        <v>44418</v>
      </c>
      <c r="F76" s="6"/>
      <c r="G76" s="7" t="s">
        <v>22</v>
      </c>
      <c r="H76" s="4" t="s">
        <v>23</v>
      </c>
      <c r="I76" s="4" t="s">
        <v>19</v>
      </c>
      <c r="J76" s="8">
        <v>44513</v>
      </c>
      <c r="K76" s="8" t="s">
        <v>63</v>
      </c>
      <c r="L76" s="5" t="s">
        <v>14</v>
      </c>
      <c r="M76" s="5" t="s">
        <v>35</v>
      </c>
      <c r="N76" s="5">
        <v>0</v>
      </c>
      <c r="O76" s="9">
        <f>YEAR(Table2[[#This Row],[Date of Joining]])</f>
        <v>2021</v>
      </c>
      <c r="P76" s="9" t="str">
        <f t="shared" ca="1" si="1"/>
        <v>5+ years</v>
      </c>
    </row>
    <row r="77" spans="1:16" x14ac:dyDescent="0.25">
      <c r="A77" s="3" t="s">
        <v>11</v>
      </c>
      <c r="B77" s="3"/>
      <c r="C77" s="4">
        <v>161242</v>
      </c>
      <c r="D77" s="5" t="s">
        <v>157</v>
      </c>
      <c r="E77" s="6">
        <v>44420</v>
      </c>
      <c r="F77" s="6"/>
      <c r="G77" s="5" t="s">
        <v>38</v>
      </c>
      <c r="H77" s="4" t="s">
        <v>23</v>
      </c>
      <c r="I77" s="4" t="s">
        <v>19</v>
      </c>
      <c r="J77" s="8">
        <v>44556</v>
      </c>
      <c r="K77" s="8" t="s">
        <v>66</v>
      </c>
      <c r="L77" s="5" t="s">
        <v>20</v>
      </c>
      <c r="M77" s="5" t="s">
        <v>35</v>
      </c>
      <c r="N77" s="5">
        <v>10</v>
      </c>
      <c r="O77" s="9">
        <f>YEAR(Table2[[#This Row],[Date of Joining]])</f>
        <v>2021</v>
      </c>
      <c r="P77" s="9" t="str">
        <f t="shared" ca="1" si="1"/>
        <v>5+ years</v>
      </c>
    </row>
    <row r="78" spans="1:16" x14ac:dyDescent="0.25">
      <c r="A78" s="3" t="s">
        <v>10</v>
      </c>
      <c r="B78" s="3"/>
      <c r="C78" s="4">
        <v>156965</v>
      </c>
      <c r="D78" s="5" t="s">
        <v>158</v>
      </c>
      <c r="E78" s="6">
        <v>44425</v>
      </c>
      <c r="F78" s="6">
        <v>44636</v>
      </c>
      <c r="G78" s="7" t="s">
        <v>22</v>
      </c>
      <c r="H78" s="4" t="s">
        <v>23</v>
      </c>
      <c r="I78" s="4" t="s">
        <v>13</v>
      </c>
      <c r="J78" s="8">
        <v>44247</v>
      </c>
      <c r="K78" s="8" t="s">
        <v>66</v>
      </c>
      <c r="L78" s="5" t="s">
        <v>20</v>
      </c>
      <c r="M78" s="5" t="s">
        <v>35</v>
      </c>
      <c r="N78" s="5">
        <v>11</v>
      </c>
      <c r="O78" s="9">
        <f>YEAR(Table2[[#This Row],[Date of Joining]])</f>
        <v>2021</v>
      </c>
      <c r="P78" s="9" t="str">
        <f t="shared" ca="1" si="1"/>
        <v>5+ years</v>
      </c>
    </row>
    <row r="79" spans="1:16" x14ac:dyDescent="0.25">
      <c r="A79" s="3" t="s">
        <v>10</v>
      </c>
      <c r="B79" s="3"/>
      <c r="C79" s="4">
        <v>192455</v>
      </c>
      <c r="D79" s="5" t="s">
        <v>159</v>
      </c>
      <c r="E79" s="6">
        <v>44440</v>
      </c>
      <c r="F79" s="6">
        <v>44233</v>
      </c>
      <c r="G79" s="7" t="s">
        <v>27</v>
      </c>
      <c r="H79" s="4" t="s">
        <v>23</v>
      </c>
      <c r="I79" s="4" t="s">
        <v>19</v>
      </c>
      <c r="J79" s="8">
        <v>44338</v>
      </c>
      <c r="K79" s="8" t="s">
        <v>66</v>
      </c>
      <c r="L79" s="5" t="s">
        <v>20</v>
      </c>
      <c r="M79" s="5" t="s">
        <v>21</v>
      </c>
      <c r="N79" s="5">
        <v>8</v>
      </c>
      <c r="O79" s="9">
        <f>YEAR(Table2[[#This Row],[Date of Joining]])</f>
        <v>2021</v>
      </c>
      <c r="P79" s="9" t="str">
        <f t="shared" ca="1" si="1"/>
        <v>5+ years</v>
      </c>
    </row>
    <row r="80" spans="1:16" x14ac:dyDescent="0.25">
      <c r="A80" s="3" t="s">
        <v>10</v>
      </c>
      <c r="B80" s="3"/>
      <c r="C80" s="4">
        <v>174038</v>
      </c>
      <c r="D80" s="5" t="s">
        <v>160</v>
      </c>
      <c r="E80" s="6">
        <v>44440</v>
      </c>
      <c r="F80" s="6">
        <v>44282</v>
      </c>
      <c r="G80" s="7" t="s">
        <v>22</v>
      </c>
      <c r="H80" s="4" t="s">
        <v>23</v>
      </c>
      <c r="I80" s="4" t="s">
        <v>13</v>
      </c>
      <c r="J80" s="8">
        <v>44540</v>
      </c>
      <c r="K80" s="8" t="s">
        <v>66</v>
      </c>
      <c r="L80" s="5" t="s">
        <v>20</v>
      </c>
      <c r="M80" s="5" t="s">
        <v>15</v>
      </c>
      <c r="N80" s="5">
        <v>12</v>
      </c>
      <c r="O80" s="9">
        <f>YEAR(Table2[[#This Row],[Date of Joining]])</f>
        <v>2021</v>
      </c>
      <c r="P80" s="9" t="str">
        <f t="shared" ca="1" si="1"/>
        <v>5+ years</v>
      </c>
    </row>
    <row r="81" spans="1:16" x14ac:dyDescent="0.25">
      <c r="A81" s="3" t="s">
        <v>1</v>
      </c>
      <c r="B81" s="3"/>
      <c r="C81" s="4">
        <v>129765</v>
      </c>
      <c r="D81" s="5" t="s">
        <v>161</v>
      </c>
      <c r="E81" s="6">
        <v>44440</v>
      </c>
      <c r="F81" s="6"/>
      <c r="G81" s="7" t="s">
        <v>27</v>
      </c>
      <c r="H81" s="4" t="s">
        <v>23</v>
      </c>
      <c r="I81" s="4" t="s">
        <v>19</v>
      </c>
      <c r="J81" s="8">
        <v>44211</v>
      </c>
      <c r="K81" s="8" t="s">
        <v>63</v>
      </c>
      <c r="L81" s="5" t="s">
        <v>20</v>
      </c>
      <c r="M81" s="5" t="s">
        <v>35</v>
      </c>
      <c r="N81" s="5">
        <v>5</v>
      </c>
      <c r="O81" s="9">
        <f>YEAR(Table2[[#This Row],[Date of Joining]])</f>
        <v>2021</v>
      </c>
      <c r="P81" s="9" t="str">
        <f t="shared" ca="1" si="1"/>
        <v>5+ years</v>
      </c>
    </row>
    <row r="82" spans="1:16" x14ac:dyDescent="0.25">
      <c r="A82" s="3" t="s">
        <v>1</v>
      </c>
      <c r="B82" s="3"/>
      <c r="C82" s="4">
        <v>154732</v>
      </c>
      <c r="D82" s="5" t="s">
        <v>162</v>
      </c>
      <c r="E82" s="6">
        <v>44448</v>
      </c>
      <c r="F82" s="6"/>
      <c r="G82" s="7" t="s">
        <v>30</v>
      </c>
      <c r="H82" s="4" t="s">
        <v>23</v>
      </c>
      <c r="I82" s="4" t="s">
        <v>13</v>
      </c>
      <c r="J82" s="8">
        <v>44507</v>
      </c>
      <c r="K82" s="8" t="s">
        <v>63</v>
      </c>
      <c r="L82" s="5" t="s">
        <v>14</v>
      </c>
      <c r="M82" s="5" t="s">
        <v>35</v>
      </c>
      <c r="N82" s="5">
        <v>0</v>
      </c>
      <c r="O82" s="9">
        <f>YEAR(Table2[[#This Row],[Date of Joining]])</f>
        <v>2021</v>
      </c>
      <c r="P82" s="9" t="str">
        <f t="shared" ca="1" si="1"/>
        <v>5+ years</v>
      </c>
    </row>
    <row r="83" spans="1:16" x14ac:dyDescent="0.25">
      <c r="A83" s="3" t="s">
        <v>1</v>
      </c>
      <c r="B83" s="3"/>
      <c r="C83" s="4">
        <v>137413</v>
      </c>
      <c r="D83" s="5" t="s">
        <v>163</v>
      </c>
      <c r="E83" s="6">
        <v>44455</v>
      </c>
      <c r="F83" s="6"/>
      <c r="G83" s="7" t="s">
        <v>30</v>
      </c>
      <c r="H83" s="4" t="s">
        <v>23</v>
      </c>
      <c r="I83" s="4" t="s">
        <v>19</v>
      </c>
      <c r="J83" s="8">
        <v>44220</v>
      </c>
      <c r="K83" s="8" t="s">
        <v>63</v>
      </c>
      <c r="L83" s="5" t="s">
        <v>25</v>
      </c>
      <c r="M83" s="5" t="s">
        <v>35</v>
      </c>
      <c r="N83" s="5">
        <v>9</v>
      </c>
      <c r="O83" s="9">
        <f>YEAR(Table2[[#This Row],[Date of Joining]])</f>
        <v>2021</v>
      </c>
      <c r="P83" s="9" t="str">
        <f t="shared" ca="1" si="1"/>
        <v>5+ years</v>
      </c>
    </row>
    <row r="84" spans="1:16" x14ac:dyDescent="0.25">
      <c r="A84" s="3" t="s">
        <v>1</v>
      </c>
      <c r="B84" s="3"/>
      <c r="C84" s="4">
        <v>185734</v>
      </c>
      <c r="D84" s="5" t="s">
        <v>164</v>
      </c>
      <c r="E84" s="6">
        <v>44455</v>
      </c>
      <c r="F84" s="6"/>
      <c r="G84" s="7" t="s">
        <v>22</v>
      </c>
      <c r="H84" s="4" t="s">
        <v>23</v>
      </c>
      <c r="I84" s="4" t="s">
        <v>19</v>
      </c>
      <c r="J84" s="8">
        <v>44536</v>
      </c>
      <c r="K84" s="8" t="s">
        <v>63</v>
      </c>
      <c r="L84" s="5" t="s">
        <v>14</v>
      </c>
      <c r="M84" s="5" t="s">
        <v>26</v>
      </c>
      <c r="N84" s="5">
        <v>0</v>
      </c>
      <c r="O84" s="9">
        <f>YEAR(Table2[[#This Row],[Date of Joining]])</f>
        <v>2021</v>
      </c>
      <c r="P84" s="9" t="str">
        <f t="shared" ca="1" si="1"/>
        <v>5+ years</v>
      </c>
    </row>
    <row r="85" spans="1:16" x14ac:dyDescent="0.25">
      <c r="A85" s="3" t="s">
        <v>1</v>
      </c>
      <c r="B85" s="3"/>
      <c r="C85" s="4">
        <v>142749</v>
      </c>
      <c r="D85" s="5" t="s">
        <v>165</v>
      </c>
      <c r="E85" s="6">
        <v>44469</v>
      </c>
      <c r="F85" s="6"/>
      <c r="G85" s="7" t="s">
        <v>22</v>
      </c>
      <c r="H85" s="4" t="s">
        <v>23</v>
      </c>
      <c r="I85" s="4" t="s">
        <v>19</v>
      </c>
      <c r="J85" s="8">
        <v>44381</v>
      </c>
      <c r="K85" s="8" t="s">
        <v>63</v>
      </c>
      <c r="L85" s="5" t="s">
        <v>20</v>
      </c>
      <c r="M85" s="5" t="s">
        <v>35</v>
      </c>
      <c r="N85" s="5">
        <v>17</v>
      </c>
      <c r="O85" s="9">
        <f>YEAR(Table2[[#This Row],[Date of Joining]])</f>
        <v>2021</v>
      </c>
      <c r="P85" s="9" t="str">
        <f t="shared" ca="1" si="1"/>
        <v>5+ years</v>
      </c>
    </row>
    <row r="86" spans="1:16" x14ac:dyDescent="0.25">
      <c r="A86" s="3" t="s">
        <v>10</v>
      </c>
      <c r="B86" s="3"/>
      <c r="C86" s="4">
        <v>116657</v>
      </c>
      <c r="D86" s="5" t="s">
        <v>166</v>
      </c>
      <c r="E86" s="6">
        <v>44490</v>
      </c>
      <c r="F86" s="6">
        <v>44740</v>
      </c>
      <c r="G86" s="7" t="s">
        <v>22</v>
      </c>
      <c r="H86" s="4" t="s">
        <v>23</v>
      </c>
      <c r="I86" s="4" t="s">
        <v>19</v>
      </c>
      <c r="J86" s="8">
        <v>44300</v>
      </c>
      <c r="K86" s="8" t="s">
        <v>63</v>
      </c>
      <c r="L86" s="5" t="s">
        <v>20</v>
      </c>
      <c r="M86" s="5" t="s">
        <v>35</v>
      </c>
      <c r="N86" s="5">
        <v>4.5999999999999996</v>
      </c>
      <c r="O86" s="9">
        <f>YEAR(Table2[[#This Row],[Date of Joining]])</f>
        <v>2021</v>
      </c>
      <c r="P86" s="9" t="str">
        <f t="shared" ca="1" si="1"/>
        <v>4+ years</v>
      </c>
    </row>
    <row r="87" spans="1:16" x14ac:dyDescent="0.25">
      <c r="A87" s="3" t="s">
        <v>1</v>
      </c>
      <c r="B87" s="3"/>
      <c r="C87" s="4">
        <v>144530</v>
      </c>
      <c r="D87" s="5" t="s">
        <v>167</v>
      </c>
      <c r="E87" s="6">
        <v>44518</v>
      </c>
      <c r="F87" s="6"/>
      <c r="G87" s="7" t="s">
        <v>22</v>
      </c>
      <c r="H87" s="4" t="s">
        <v>23</v>
      </c>
      <c r="I87" s="4" t="s">
        <v>19</v>
      </c>
      <c r="J87" s="8">
        <v>44275</v>
      </c>
      <c r="K87" s="8" t="s">
        <v>63</v>
      </c>
      <c r="L87" s="5" t="s">
        <v>20</v>
      </c>
      <c r="M87" s="5" t="s">
        <v>37</v>
      </c>
      <c r="N87" s="5">
        <v>14</v>
      </c>
      <c r="O87" s="9">
        <f>YEAR(Table2[[#This Row],[Date of Joining]])</f>
        <v>2021</v>
      </c>
      <c r="P87" s="9" t="str">
        <f t="shared" ca="1" si="1"/>
        <v>4+ years</v>
      </c>
    </row>
    <row r="88" spans="1:16" x14ac:dyDescent="0.25">
      <c r="A88" s="3" t="s">
        <v>1</v>
      </c>
      <c r="B88" s="3"/>
      <c r="C88" s="4">
        <v>101259</v>
      </c>
      <c r="D88" s="5" t="s">
        <v>168</v>
      </c>
      <c r="E88" s="6">
        <v>44616</v>
      </c>
      <c r="F88" s="6"/>
      <c r="G88" s="7" t="s">
        <v>16</v>
      </c>
      <c r="H88" s="4" t="s">
        <v>23</v>
      </c>
      <c r="I88" s="4" t="s">
        <v>19</v>
      </c>
      <c r="J88" s="8">
        <v>44527</v>
      </c>
      <c r="K88" s="8" t="s">
        <v>66</v>
      </c>
      <c r="L88" s="5" t="s">
        <v>25</v>
      </c>
      <c r="M88" s="5" t="s">
        <v>35</v>
      </c>
      <c r="N88" s="5">
        <v>12</v>
      </c>
      <c r="O88" s="9">
        <f>YEAR(Table2[[#This Row],[Date of Joining]])</f>
        <v>2022</v>
      </c>
      <c r="P88" s="9" t="str">
        <f t="shared" ca="1" si="1"/>
        <v>4+ years</v>
      </c>
    </row>
    <row r="89" spans="1:16" x14ac:dyDescent="0.25">
      <c r="A89" s="3" t="s">
        <v>1</v>
      </c>
      <c r="B89" s="3"/>
      <c r="C89" s="4">
        <v>122323</v>
      </c>
      <c r="D89" s="5" t="s">
        <v>169</v>
      </c>
      <c r="E89" s="6">
        <v>44623</v>
      </c>
      <c r="F89" s="6"/>
      <c r="G89" s="5" t="s">
        <v>33</v>
      </c>
      <c r="H89" s="4" t="s">
        <v>23</v>
      </c>
      <c r="I89" s="4" t="s">
        <v>13</v>
      </c>
      <c r="J89" s="8">
        <v>44426</v>
      </c>
      <c r="K89" s="8" t="s">
        <v>66</v>
      </c>
      <c r="L89" s="5" t="s">
        <v>20</v>
      </c>
      <c r="M89" s="5" t="s">
        <v>37</v>
      </c>
      <c r="N89" s="5">
        <v>14</v>
      </c>
      <c r="O89" s="9">
        <f>YEAR(Table2[[#This Row],[Date of Joining]])</f>
        <v>2022</v>
      </c>
      <c r="P89" s="9" t="str">
        <f t="shared" ca="1" si="1"/>
        <v>4+ years</v>
      </c>
    </row>
    <row r="90" spans="1:16" x14ac:dyDescent="0.25">
      <c r="A90" s="3" t="s">
        <v>1</v>
      </c>
      <c r="B90" s="3"/>
      <c r="C90" s="4">
        <v>136489</v>
      </c>
      <c r="D90" s="5" t="s">
        <v>170</v>
      </c>
      <c r="E90" s="6">
        <v>44637</v>
      </c>
      <c r="F90" s="6"/>
      <c r="G90" s="7" t="s">
        <v>22</v>
      </c>
      <c r="H90" s="4" t="s">
        <v>23</v>
      </c>
      <c r="I90" s="4" t="s">
        <v>19</v>
      </c>
      <c r="J90" s="8">
        <v>44230</v>
      </c>
      <c r="K90" s="8" t="s">
        <v>66</v>
      </c>
      <c r="L90" s="5" t="s">
        <v>20</v>
      </c>
      <c r="M90" s="5" t="s">
        <v>37</v>
      </c>
      <c r="N90" s="5">
        <v>5.3</v>
      </c>
      <c r="O90" s="9">
        <f>YEAR(Table2[[#This Row],[Date of Joining]])</f>
        <v>2022</v>
      </c>
      <c r="P90" s="9" t="str">
        <f t="shared" ca="1" si="1"/>
        <v>4+ years</v>
      </c>
    </row>
    <row r="91" spans="1:16" x14ac:dyDescent="0.25">
      <c r="A91" s="3" t="s">
        <v>1</v>
      </c>
      <c r="B91" s="3"/>
      <c r="C91" s="4">
        <v>107161</v>
      </c>
      <c r="D91" s="5" t="s">
        <v>171</v>
      </c>
      <c r="E91" s="6">
        <v>44644</v>
      </c>
      <c r="F91" s="6"/>
      <c r="G91" s="7" t="s">
        <v>27</v>
      </c>
      <c r="H91" s="4" t="s">
        <v>23</v>
      </c>
      <c r="I91" s="4" t="s">
        <v>13</v>
      </c>
      <c r="J91" s="8">
        <v>44402</v>
      </c>
      <c r="K91" s="8" t="s">
        <v>63</v>
      </c>
      <c r="L91" s="5" t="s">
        <v>14</v>
      </c>
      <c r="M91" s="5" t="s">
        <v>37</v>
      </c>
      <c r="N91" s="5">
        <v>2.5</v>
      </c>
      <c r="O91" s="9">
        <f>YEAR(Table2[[#This Row],[Date of Joining]])</f>
        <v>2022</v>
      </c>
      <c r="P91" s="9" t="str">
        <f t="shared" ca="1" si="1"/>
        <v>4+ years</v>
      </c>
    </row>
    <row r="92" spans="1:16" x14ac:dyDescent="0.25">
      <c r="A92" s="3" t="s">
        <v>1</v>
      </c>
      <c r="B92" s="3"/>
      <c r="C92" s="4">
        <v>182061</v>
      </c>
      <c r="D92" s="5" t="s">
        <v>172</v>
      </c>
      <c r="E92" s="6">
        <v>44644</v>
      </c>
      <c r="F92" s="6"/>
      <c r="G92" s="7" t="s">
        <v>22</v>
      </c>
      <c r="H92" s="4" t="s">
        <v>23</v>
      </c>
      <c r="I92" s="4" t="s">
        <v>19</v>
      </c>
      <c r="J92" s="8">
        <v>44322</v>
      </c>
      <c r="K92" s="8" t="s">
        <v>63</v>
      </c>
      <c r="L92" s="5" t="s">
        <v>20</v>
      </c>
      <c r="M92" s="5" t="s">
        <v>37</v>
      </c>
      <c r="N92" s="5">
        <v>2.11</v>
      </c>
      <c r="O92" s="9">
        <f>YEAR(Table2[[#This Row],[Date of Joining]])</f>
        <v>2022</v>
      </c>
      <c r="P92" s="9" t="str">
        <f t="shared" ca="1" si="1"/>
        <v>4+ years</v>
      </c>
    </row>
    <row r="93" spans="1:16" x14ac:dyDescent="0.25">
      <c r="A93" s="3" t="s">
        <v>1</v>
      </c>
      <c r="B93" s="3"/>
      <c r="C93" s="4">
        <v>123190</v>
      </c>
      <c r="D93" s="5" t="s">
        <v>173</v>
      </c>
      <c r="E93" s="6">
        <v>44658</v>
      </c>
      <c r="F93" s="6"/>
      <c r="G93" s="7" t="s">
        <v>22</v>
      </c>
      <c r="H93" s="4" t="s">
        <v>23</v>
      </c>
      <c r="I93" s="4" t="s">
        <v>13</v>
      </c>
      <c r="J93" s="8">
        <v>44214</v>
      </c>
      <c r="K93" s="8" t="s">
        <v>63</v>
      </c>
      <c r="L93" s="5" t="s">
        <v>14</v>
      </c>
      <c r="M93" s="5" t="s">
        <v>37</v>
      </c>
      <c r="N93" s="5">
        <v>0</v>
      </c>
      <c r="O93" s="9">
        <f>YEAR(Table2[[#This Row],[Date of Joining]])</f>
        <v>2022</v>
      </c>
      <c r="P93" s="9" t="str">
        <f t="shared" ca="1" si="1"/>
        <v>4+ years</v>
      </c>
    </row>
    <row r="94" spans="1:16" x14ac:dyDescent="0.25">
      <c r="A94" s="3" t="s">
        <v>1</v>
      </c>
      <c r="B94" s="3"/>
      <c r="C94" s="4">
        <v>118638</v>
      </c>
      <c r="D94" s="5" t="s">
        <v>174</v>
      </c>
      <c r="E94" s="6">
        <v>44658</v>
      </c>
      <c r="F94" s="6"/>
      <c r="G94" s="7" t="s">
        <v>22</v>
      </c>
      <c r="H94" s="4" t="s">
        <v>23</v>
      </c>
      <c r="I94" s="4" t="s">
        <v>19</v>
      </c>
      <c r="J94" s="8">
        <v>44524</v>
      </c>
      <c r="K94" s="8" t="s">
        <v>66</v>
      </c>
      <c r="L94" s="5" t="s">
        <v>20</v>
      </c>
      <c r="M94" s="5" t="s">
        <v>37</v>
      </c>
      <c r="N94" s="5">
        <v>15</v>
      </c>
      <c r="O94" s="9">
        <f>YEAR(Table2[[#This Row],[Date of Joining]])</f>
        <v>2022</v>
      </c>
      <c r="P94" s="9" t="str">
        <f t="shared" ca="1" si="1"/>
        <v>4+ years</v>
      </c>
    </row>
    <row r="95" spans="1:16" x14ac:dyDescent="0.25">
      <c r="A95" s="3" t="s">
        <v>1</v>
      </c>
      <c r="B95" s="3"/>
      <c r="C95" s="4">
        <v>132330</v>
      </c>
      <c r="D95" s="5" t="s">
        <v>175</v>
      </c>
      <c r="E95" s="6">
        <v>44665</v>
      </c>
      <c r="F95" s="6"/>
      <c r="G95" s="5" t="s">
        <v>38</v>
      </c>
      <c r="H95" s="4" t="s">
        <v>23</v>
      </c>
      <c r="I95" s="4" t="s">
        <v>19</v>
      </c>
      <c r="J95" s="8">
        <v>44483</v>
      </c>
      <c r="K95" s="8" t="s">
        <v>66</v>
      </c>
      <c r="L95" s="5" t="s">
        <v>25</v>
      </c>
      <c r="M95" s="5" t="s">
        <v>26</v>
      </c>
      <c r="N95" s="5">
        <v>14</v>
      </c>
      <c r="O95" s="9">
        <f>YEAR(Table2[[#This Row],[Date of Joining]])</f>
        <v>2022</v>
      </c>
      <c r="P95" s="9" t="str">
        <f t="shared" ca="1" si="1"/>
        <v>4+ years</v>
      </c>
    </row>
    <row r="96" spans="1:16" x14ac:dyDescent="0.25">
      <c r="A96" s="3" t="s">
        <v>1</v>
      </c>
      <c r="B96" s="3"/>
      <c r="C96" s="4">
        <v>191594</v>
      </c>
      <c r="D96" s="5" t="s">
        <v>176</v>
      </c>
      <c r="E96" s="6">
        <v>44670</v>
      </c>
      <c r="F96" s="6"/>
      <c r="G96" s="5" t="s">
        <v>33</v>
      </c>
      <c r="H96" s="4" t="s">
        <v>23</v>
      </c>
      <c r="I96" s="4" t="s">
        <v>19</v>
      </c>
      <c r="J96" s="8">
        <v>44446</v>
      </c>
      <c r="K96" s="8" t="s">
        <v>66</v>
      </c>
      <c r="L96" s="5" t="s">
        <v>20</v>
      </c>
      <c r="M96" s="5" t="s">
        <v>35</v>
      </c>
      <c r="N96" s="5">
        <v>8</v>
      </c>
      <c r="O96" s="9">
        <f>YEAR(Table2[[#This Row],[Date of Joining]])</f>
        <v>2022</v>
      </c>
      <c r="P96" s="9" t="str">
        <f t="shared" ca="1" si="1"/>
        <v>4+ years</v>
      </c>
    </row>
    <row r="97" spans="1:16" x14ac:dyDescent="0.25">
      <c r="A97" s="3" t="s">
        <v>11</v>
      </c>
      <c r="B97" s="3"/>
      <c r="C97" s="4">
        <v>152991</v>
      </c>
      <c r="D97" s="5" t="s">
        <v>177</v>
      </c>
      <c r="E97" s="6">
        <v>44686</v>
      </c>
      <c r="F97" s="6"/>
      <c r="G97" s="7" t="s">
        <v>16</v>
      </c>
      <c r="H97" s="4" t="s">
        <v>23</v>
      </c>
      <c r="I97" s="4" t="s">
        <v>19</v>
      </c>
      <c r="J97" s="8">
        <v>44245</v>
      </c>
      <c r="K97" s="8" t="s">
        <v>66</v>
      </c>
      <c r="L97" s="5" t="s">
        <v>20</v>
      </c>
      <c r="M97" s="5" t="s">
        <v>35</v>
      </c>
      <c r="N97" s="5">
        <v>15</v>
      </c>
      <c r="O97" s="9">
        <f>YEAR(Table2[[#This Row],[Date of Joining]])</f>
        <v>2022</v>
      </c>
      <c r="P97" s="9" t="str">
        <f t="shared" ca="1" si="1"/>
        <v>4+ years</v>
      </c>
    </row>
    <row r="98" spans="1:16" x14ac:dyDescent="0.25">
      <c r="A98" s="3" t="s">
        <v>10</v>
      </c>
      <c r="B98" s="3" t="s">
        <v>154</v>
      </c>
      <c r="C98" s="4">
        <v>101996</v>
      </c>
      <c r="D98" s="5" t="s">
        <v>178</v>
      </c>
      <c r="E98" s="6">
        <v>44742</v>
      </c>
      <c r="F98" s="6">
        <v>45108</v>
      </c>
      <c r="G98" s="7" t="s">
        <v>16</v>
      </c>
      <c r="H98" s="4" t="s">
        <v>23</v>
      </c>
      <c r="I98" s="4" t="s">
        <v>19</v>
      </c>
      <c r="J98" s="8">
        <v>44414</v>
      </c>
      <c r="K98" s="8" t="s">
        <v>63</v>
      </c>
      <c r="L98" s="5" t="s">
        <v>14</v>
      </c>
      <c r="M98" s="5" t="s">
        <v>37</v>
      </c>
      <c r="N98" s="5">
        <v>1</v>
      </c>
      <c r="O98" s="9">
        <f>YEAR(Table2[[#This Row],[Date of Joining]])</f>
        <v>2022</v>
      </c>
      <c r="P98" s="9" t="str">
        <f t="shared" ca="1" si="1"/>
        <v>4+ years</v>
      </c>
    </row>
    <row r="99" spans="1:16" x14ac:dyDescent="0.25">
      <c r="A99" s="3" t="s">
        <v>10</v>
      </c>
      <c r="B99" s="3"/>
      <c r="C99" s="4">
        <v>138939</v>
      </c>
      <c r="D99" s="5" t="s">
        <v>179</v>
      </c>
      <c r="E99" s="6">
        <v>44749</v>
      </c>
      <c r="F99" s="6">
        <v>45054</v>
      </c>
      <c r="G99" s="7" t="s">
        <v>16</v>
      </c>
      <c r="H99" s="4" t="s">
        <v>23</v>
      </c>
      <c r="I99" s="4" t="s">
        <v>13</v>
      </c>
      <c r="J99" s="8">
        <v>44289</v>
      </c>
      <c r="K99" s="8" t="s">
        <v>66</v>
      </c>
      <c r="L99" s="5" t="s">
        <v>20</v>
      </c>
      <c r="M99" s="5" t="s">
        <v>35</v>
      </c>
      <c r="N99" s="5">
        <v>6</v>
      </c>
      <c r="O99" s="9">
        <f>YEAR(Table2[[#This Row],[Date of Joining]])</f>
        <v>2022</v>
      </c>
      <c r="P99" s="9" t="str">
        <f t="shared" ca="1" si="1"/>
        <v>4+ years</v>
      </c>
    </row>
    <row r="100" spans="1:16" x14ac:dyDescent="0.25">
      <c r="A100" s="3" t="s">
        <v>10</v>
      </c>
      <c r="B100" s="3"/>
      <c r="C100" s="4">
        <v>198396</v>
      </c>
      <c r="D100" s="5" t="s">
        <v>180</v>
      </c>
      <c r="E100" s="6">
        <v>44763</v>
      </c>
      <c r="F100" s="6">
        <v>45324</v>
      </c>
      <c r="G100" s="7" t="s">
        <v>16</v>
      </c>
      <c r="H100" s="4" t="s">
        <v>23</v>
      </c>
      <c r="I100" s="4" t="s">
        <v>19</v>
      </c>
      <c r="J100" s="8">
        <v>44208</v>
      </c>
      <c r="K100" s="8" t="s">
        <v>66</v>
      </c>
      <c r="L100" s="5" t="s">
        <v>25</v>
      </c>
      <c r="M100" s="5" t="s">
        <v>15</v>
      </c>
      <c r="N100" s="5">
        <v>18</v>
      </c>
      <c r="O100" s="9">
        <f>YEAR(Table2[[#This Row],[Date of Joining]])</f>
        <v>2022</v>
      </c>
      <c r="P100" s="9" t="str">
        <f t="shared" ca="1" si="1"/>
        <v>4+ years</v>
      </c>
    </row>
    <row r="101" spans="1:16" x14ac:dyDescent="0.25">
      <c r="A101" s="3" t="s">
        <v>1</v>
      </c>
      <c r="B101" s="3"/>
      <c r="C101" s="4">
        <v>194143</v>
      </c>
      <c r="D101" s="5" t="s">
        <v>181</v>
      </c>
      <c r="E101" s="6">
        <v>44763</v>
      </c>
      <c r="F101" s="6"/>
      <c r="G101" s="7" t="s">
        <v>22</v>
      </c>
      <c r="H101" s="4" t="s">
        <v>23</v>
      </c>
      <c r="I101" s="4" t="s">
        <v>19</v>
      </c>
      <c r="J101" s="8">
        <v>44248</v>
      </c>
      <c r="K101" s="8" t="s">
        <v>66</v>
      </c>
      <c r="L101" s="5" t="s">
        <v>20</v>
      </c>
      <c r="M101" s="5" t="s">
        <v>37</v>
      </c>
      <c r="N101" s="5">
        <v>6.5</v>
      </c>
      <c r="O101" s="9">
        <f>YEAR(Table2[[#This Row],[Date of Joining]])</f>
        <v>2022</v>
      </c>
      <c r="P101" s="9" t="str">
        <f t="shared" ca="1" si="1"/>
        <v>4+ years</v>
      </c>
    </row>
    <row r="102" spans="1:16" x14ac:dyDescent="0.25">
      <c r="A102" s="3" t="s">
        <v>11</v>
      </c>
      <c r="B102" s="3"/>
      <c r="C102" s="4">
        <v>134729</v>
      </c>
      <c r="D102" s="5" t="s">
        <v>182</v>
      </c>
      <c r="E102" s="6">
        <v>44768</v>
      </c>
      <c r="F102" s="6"/>
      <c r="G102" s="7" t="s">
        <v>16</v>
      </c>
      <c r="H102" s="4" t="s">
        <v>23</v>
      </c>
      <c r="I102" s="4" t="s">
        <v>19</v>
      </c>
      <c r="J102" s="8">
        <v>44206</v>
      </c>
      <c r="K102" s="8" t="s">
        <v>63</v>
      </c>
      <c r="L102" s="5" t="s">
        <v>20</v>
      </c>
      <c r="M102" s="5" t="s">
        <v>35</v>
      </c>
      <c r="N102" s="5">
        <v>7</v>
      </c>
      <c r="O102" s="9">
        <f>YEAR(Table2[[#This Row],[Date of Joining]])</f>
        <v>2022</v>
      </c>
      <c r="P102" s="9" t="str">
        <f t="shared" ca="1" si="1"/>
        <v>4+ years</v>
      </c>
    </row>
    <row r="103" spans="1:16" x14ac:dyDescent="0.25">
      <c r="A103" s="3" t="s">
        <v>10</v>
      </c>
      <c r="B103" s="3"/>
      <c r="C103" s="4">
        <v>186526</v>
      </c>
      <c r="D103" s="5" t="s">
        <v>183</v>
      </c>
      <c r="E103" s="6">
        <v>44805</v>
      </c>
      <c r="F103" s="6">
        <v>45269</v>
      </c>
      <c r="G103" s="7" t="s">
        <v>22</v>
      </c>
      <c r="H103" s="4" t="s">
        <v>23</v>
      </c>
      <c r="I103" s="4" t="s">
        <v>13</v>
      </c>
      <c r="J103" s="8">
        <v>44540</v>
      </c>
      <c r="K103" s="8" t="s">
        <v>66</v>
      </c>
      <c r="L103" s="5" t="s">
        <v>14</v>
      </c>
      <c r="M103" s="5" t="s">
        <v>37</v>
      </c>
      <c r="N103" s="5">
        <v>1.8</v>
      </c>
      <c r="O103" s="9">
        <f>YEAR(Table2[[#This Row],[Date of Joining]])</f>
        <v>2022</v>
      </c>
      <c r="P103" s="9" t="str">
        <f t="shared" ca="1" si="1"/>
        <v>4+ years</v>
      </c>
    </row>
    <row r="104" spans="1:16" x14ac:dyDescent="0.25">
      <c r="A104" s="3" t="s">
        <v>1</v>
      </c>
      <c r="B104" s="3"/>
      <c r="C104" s="4">
        <v>115395</v>
      </c>
      <c r="D104" s="5" t="s">
        <v>184</v>
      </c>
      <c r="E104" s="6">
        <v>44805</v>
      </c>
      <c r="F104" s="6"/>
      <c r="G104" s="7" t="s">
        <v>22</v>
      </c>
      <c r="H104" s="4" t="s">
        <v>23</v>
      </c>
      <c r="I104" s="4" t="s">
        <v>13</v>
      </c>
      <c r="J104" s="8">
        <v>44495</v>
      </c>
      <c r="K104" s="8" t="s">
        <v>63</v>
      </c>
      <c r="L104" s="5" t="s">
        <v>14</v>
      </c>
      <c r="M104" s="5" t="s">
        <v>37</v>
      </c>
      <c r="N104" s="5">
        <v>3.5</v>
      </c>
      <c r="O104" s="9">
        <f>YEAR(Table2[[#This Row],[Date of Joining]])</f>
        <v>2022</v>
      </c>
      <c r="P104" s="9" t="str">
        <f t="shared" ca="1" si="1"/>
        <v>4+ years</v>
      </c>
    </row>
    <row r="105" spans="1:16" x14ac:dyDescent="0.25">
      <c r="A105" s="3" t="s">
        <v>1</v>
      </c>
      <c r="B105" s="3"/>
      <c r="C105" s="4">
        <v>160948</v>
      </c>
      <c r="D105" s="5" t="s">
        <v>185</v>
      </c>
      <c r="E105" s="6">
        <v>44805</v>
      </c>
      <c r="F105" s="6"/>
      <c r="G105" s="7" t="s">
        <v>22</v>
      </c>
      <c r="H105" s="4" t="s">
        <v>23</v>
      </c>
      <c r="I105" s="4" t="s">
        <v>13</v>
      </c>
      <c r="J105" s="8">
        <v>44472</v>
      </c>
      <c r="K105" s="8" t="s">
        <v>63</v>
      </c>
      <c r="L105" s="5" t="s">
        <v>14</v>
      </c>
      <c r="M105" s="5" t="s">
        <v>37</v>
      </c>
      <c r="N105" s="5">
        <v>0</v>
      </c>
      <c r="O105" s="9">
        <f>YEAR(Table2[[#This Row],[Date of Joining]])</f>
        <v>2022</v>
      </c>
      <c r="P105" s="9" t="str">
        <f t="shared" ca="1" si="1"/>
        <v>4+ years</v>
      </c>
    </row>
    <row r="106" spans="1:16" x14ac:dyDescent="0.25">
      <c r="A106" s="3" t="s">
        <v>1</v>
      </c>
      <c r="B106" s="3"/>
      <c r="C106" s="4">
        <v>163814</v>
      </c>
      <c r="D106" s="5" t="s">
        <v>186</v>
      </c>
      <c r="E106" s="6">
        <v>44805</v>
      </c>
      <c r="F106" s="6"/>
      <c r="G106" s="7" t="s">
        <v>27</v>
      </c>
      <c r="H106" s="4" t="s">
        <v>23</v>
      </c>
      <c r="I106" s="4" t="s">
        <v>19</v>
      </c>
      <c r="J106" s="8">
        <v>44208</v>
      </c>
      <c r="K106" s="8" t="s">
        <v>63</v>
      </c>
      <c r="L106" s="5" t="s">
        <v>14</v>
      </c>
      <c r="M106" s="5" t="s">
        <v>37</v>
      </c>
      <c r="N106" s="5">
        <v>2</v>
      </c>
      <c r="O106" s="9">
        <f>YEAR(Table2[[#This Row],[Date of Joining]])</f>
        <v>2022</v>
      </c>
      <c r="P106" s="9" t="str">
        <f t="shared" ca="1" si="1"/>
        <v>4+ years</v>
      </c>
    </row>
    <row r="107" spans="1:16" x14ac:dyDescent="0.25">
      <c r="A107" s="3" t="s">
        <v>1</v>
      </c>
      <c r="B107" s="3"/>
      <c r="C107" s="4">
        <v>163161</v>
      </c>
      <c r="D107" s="5" t="s">
        <v>187</v>
      </c>
      <c r="E107" s="6">
        <v>44805</v>
      </c>
      <c r="F107" s="6"/>
      <c r="G107" s="7" t="s">
        <v>22</v>
      </c>
      <c r="H107" s="4" t="s">
        <v>23</v>
      </c>
      <c r="I107" s="4" t="s">
        <v>19</v>
      </c>
      <c r="J107" s="8">
        <v>44215</v>
      </c>
      <c r="K107" s="8" t="s">
        <v>66</v>
      </c>
      <c r="L107" s="5" t="s">
        <v>20</v>
      </c>
      <c r="M107" s="5" t="s">
        <v>37</v>
      </c>
      <c r="N107" s="5">
        <v>13</v>
      </c>
      <c r="O107" s="9">
        <f>YEAR(Table2[[#This Row],[Date of Joining]])</f>
        <v>2022</v>
      </c>
      <c r="P107" s="9" t="str">
        <f t="shared" ca="1" si="1"/>
        <v>4+ years</v>
      </c>
    </row>
    <row r="108" spans="1:16" x14ac:dyDescent="0.25">
      <c r="A108" s="3" t="s">
        <v>1</v>
      </c>
      <c r="B108" s="3"/>
      <c r="C108" s="4">
        <v>173240</v>
      </c>
      <c r="D108" s="5" t="s">
        <v>188</v>
      </c>
      <c r="E108" s="6">
        <v>44819</v>
      </c>
      <c r="F108" s="6"/>
      <c r="G108" s="7" t="s">
        <v>27</v>
      </c>
      <c r="H108" s="4" t="s">
        <v>23</v>
      </c>
      <c r="I108" s="4" t="s">
        <v>13</v>
      </c>
      <c r="J108" s="8">
        <v>44229</v>
      </c>
      <c r="K108" s="8" t="s">
        <v>66</v>
      </c>
      <c r="L108" s="5" t="s">
        <v>20</v>
      </c>
      <c r="M108" s="5" t="s">
        <v>37</v>
      </c>
      <c r="N108" s="5">
        <v>8.1999999999999993</v>
      </c>
      <c r="O108" s="9">
        <f>YEAR(Table2[[#This Row],[Date of Joining]])</f>
        <v>2022</v>
      </c>
      <c r="P108" s="9" t="str">
        <f t="shared" ca="1" si="1"/>
        <v>4+ years</v>
      </c>
    </row>
    <row r="109" spans="1:16" x14ac:dyDescent="0.25">
      <c r="A109" s="3" t="s">
        <v>1</v>
      </c>
      <c r="B109" s="3"/>
      <c r="C109" s="4">
        <v>109673</v>
      </c>
      <c r="D109" s="5" t="s">
        <v>189</v>
      </c>
      <c r="E109" s="6">
        <v>44840</v>
      </c>
      <c r="F109" s="6"/>
      <c r="G109" s="7" t="s">
        <v>22</v>
      </c>
      <c r="H109" s="4" t="s">
        <v>23</v>
      </c>
      <c r="I109" s="4" t="s">
        <v>19</v>
      </c>
      <c r="J109" s="8">
        <v>44326</v>
      </c>
      <c r="K109" s="8" t="s">
        <v>63</v>
      </c>
      <c r="L109" s="5" t="s">
        <v>14</v>
      </c>
      <c r="M109" s="5" t="s">
        <v>37</v>
      </c>
      <c r="N109" s="5">
        <v>7.6</v>
      </c>
      <c r="O109" s="9">
        <f>YEAR(Table2[[#This Row],[Date of Joining]])</f>
        <v>2022</v>
      </c>
      <c r="P109" s="9" t="str">
        <f t="shared" ca="1" si="1"/>
        <v>4+ years</v>
      </c>
    </row>
    <row r="110" spans="1:16" x14ac:dyDescent="0.25">
      <c r="A110" s="3" t="s">
        <v>1</v>
      </c>
      <c r="B110" s="3"/>
      <c r="C110" s="4">
        <v>138302</v>
      </c>
      <c r="D110" s="5" t="s">
        <v>190</v>
      </c>
      <c r="E110" s="6">
        <v>44847</v>
      </c>
      <c r="F110" s="6"/>
      <c r="G110" s="7" t="s">
        <v>22</v>
      </c>
      <c r="H110" s="4" t="s">
        <v>23</v>
      </c>
      <c r="I110" s="4" t="s">
        <v>19</v>
      </c>
      <c r="J110" s="8">
        <v>44433</v>
      </c>
      <c r="K110" s="8" t="s">
        <v>63</v>
      </c>
      <c r="L110" s="5" t="s">
        <v>14</v>
      </c>
      <c r="M110" s="5" t="s">
        <v>37</v>
      </c>
      <c r="N110" s="5">
        <v>6.2</v>
      </c>
      <c r="O110" s="9">
        <f>YEAR(Table2[[#This Row],[Date of Joining]])</f>
        <v>2022</v>
      </c>
      <c r="P110" s="9" t="str">
        <f t="shared" ca="1" si="1"/>
        <v>4+ years</v>
      </c>
    </row>
    <row r="111" spans="1:16" x14ac:dyDescent="0.25">
      <c r="A111" s="3" t="s">
        <v>11</v>
      </c>
      <c r="B111" s="3"/>
      <c r="C111" s="4">
        <v>126765</v>
      </c>
      <c r="D111" s="5" t="s">
        <v>191</v>
      </c>
      <c r="E111" s="6">
        <v>44868</v>
      </c>
      <c r="F111" s="6"/>
      <c r="G111" s="7" t="s">
        <v>16</v>
      </c>
      <c r="H111" s="4" t="s">
        <v>23</v>
      </c>
      <c r="I111" s="4" t="s">
        <v>19</v>
      </c>
      <c r="J111" s="8">
        <v>44217</v>
      </c>
      <c r="K111" s="8" t="s">
        <v>66</v>
      </c>
      <c r="L111" s="5" t="s">
        <v>20</v>
      </c>
      <c r="M111" s="5" t="s">
        <v>35</v>
      </c>
      <c r="N111" s="5">
        <v>15</v>
      </c>
      <c r="O111" s="9">
        <f>YEAR(Table2[[#This Row],[Date of Joining]])</f>
        <v>2022</v>
      </c>
      <c r="P111" s="9" t="str">
        <f t="shared" ca="1" si="1"/>
        <v>3+ years</v>
      </c>
    </row>
    <row r="112" spans="1:16" x14ac:dyDescent="0.25">
      <c r="A112" s="3" t="s">
        <v>11</v>
      </c>
      <c r="B112" s="3"/>
      <c r="C112" s="4">
        <v>188099</v>
      </c>
      <c r="D112" s="5" t="s">
        <v>192</v>
      </c>
      <c r="E112" s="6">
        <v>44901</v>
      </c>
      <c r="F112" s="6"/>
      <c r="G112" s="7" t="s">
        <v>16</v>
      </c>
      <c r="H112" s="4" t="s">
        <v>23</v>
      </c>
      <c r="I112" s="4" t="s">
        <v>19</v>
      </c>
      <c r="J112" s="8">
        <v>44332</v>
      </c>
      <c r="K112" s="8" t="s">
        <v>66</v>
      </c>
      <c r="L112" s="5" t="s">
        <v>20</v>
      </c>
      <c r="M112" s="5" t="s">
        <v>35</v>
      </c>
      <c r="N112" s="5">
        <v>16</v>
      </c>
      <c r="O112" s="9">
        <f>YEAR(Table2[[#This Row],[Date of Joining]])</f>
        <v>2022</v>
      </c>
      <c r="P112" s="9" t="str">
        <f t="shared" ca="1" si="1"/>
        <v>3+ years</v>
      </c>
    </row>
    <row r="113" spans="1:16" x14ac:dyDescent="0.25">
      <c r="A113" s="3" t="s">
        <v>1</v>
      </c>
      <c r="B113" s="3" t="s">
        <v>154</v>
      </c>
      <c r="C113" s="4">
        <v>115441</v>
      </c>
      <c r="D113" s="5" t="s">
        <v>193</v>
      </c>
      <c r="E113" s="6">
        <v>44958</v>
      </c>
      <c r="F113" s="6"/>
      <c r="G113" s="7" t="s">
        <v>16</v>
      </c>
      <c r="H113" s="4" t="s">
        <v>23</v>
      </c>
      <c r="I113" s="4" t="s">
        <v>19</v>
      </c>
      <c r="J113" s="8">
        <v>44377</v>
      </c>
      <c r="K113" s="8" t="s">
        <v>63</v>
      </c>
      <c r="L113" s="5" t="s">
        <v>14</v>
      </c>
      <c r="M113" s="5" t="s">
        <v>21</v>
      </c>
      <c r="N113" s="5">
        <v>1.5</v>
      </c>
      <c r="O113" s="9">
        <f>YEAR(Table2[[#This Row],[Date of Joining]])</f>
        <v>2023</v>
      </c>
      <c r="P113" s="9" t="str">
        <f t="shared" ca="1" si="1"/>
        <v>3+ years</v>
      </c>
    </row>
    <row r="114" spans="1:16" x14ac:dyDescent="0.25">
      <c r="A114" s="3" t="s">
        <v>1</v>
      </c>
      <c r="B114" s="3" t="s">
        <v>154</v>
      </c>
      <c r="C114" s="4">
        <v>169669</v>
      </c>
      <c r="D114" s="5" t="s">
        <v>194</v>
      </c>
      <c r="E114" s="6">
        <v>45027</v>
      </c>
      <c r="F114" s="6"/>
      <c r="G114" s="7" t="s">
        <v>16</v>
      </c>
      <c r="H114" s="4" t="s">
        <v>23</v>
      </c>
      <c r="I114" s="4" t="s">
        <v>13</v>
      </c>
      <c r="J114" s="8">
        <v>44639</v>
      </c>
      <c r="K114" s="8" t="s">
        <v>66</v>
      </c>
      <c r="L114" s="5" t="s">
        <v>20</v>
      </c>
      <c r="M114" s="5" t="s">
        <v>29</v>
      </c>
      <c r="N114" s="5">
        <v>6</v>
      </c>
      <c r="O114" s="9">
        <f>YEAR(Table2[[#This Row],[Date of Joining]])</f>
        <v>2023</v>
      </c>
      <c r="P114" s="9" t="str">
        <f t="shared" ca="1" si="1"/>
        <v>3+ years</v>
      </c>
    </row>
    <row r="115" spans="1:16" x14ac:dyDescent="0.25">
      <c r="A115" s="3" t="s">
        <v>1</v>
      </c>
      <c r="B115" s="3"/>
      <c r="C115" s="4">
        <v>100957</v>
      </c>
      <c r="D115" s="5" t="s">
        <v>195</v>
      </c>
      <c r="E115" s="6">
        <v>45036</v>
      </c>
      <c r="F115" s="6"/>
      <c r="G115" s="7" t="s">
        <v>16</v>
      </c>
      <c r="H115" s="4" t="s">
        <v>23</v>
      </c>
      <c r="I115" s="4" t="s">
        <v>13</v>
      </c>
      <c r="J115" s="8">
        <v>44632</v>
      </c>
      <c r="K115" s="8" t="s">
        <v>66</v>
      </c>
      <c r="L115" s="5" t="s">
        <v>20</v>
      </c>
      <c r="M115" s="5" t="s">
        <v>35</v>
      </c>
      <c r="N115" s="5">
        <v>8</v>
      </c>
      <c r="O115" s="9">
        <f>YEAR(Table2[[#This Row],[Date of Joining]])</f>
        <v>2023</v>
      </c>
      <c r="P115" s="9" t="str">
        <f t="shared" ca="1" si="1"/>
        <v>3+ years</v>
      </c>
    </row>
    <row r="116" spans="1:16" x14ac:dyDescent="0.25">
      <c r="A116" s="3" t="s">
        <v>11</v>
      </c>
      <c r="B116" s="3"/>
      <c r="C116" s="4">
        <v>193737</v>
      </c>
      <c r="D116" s="5" t="s">
        <v>196</v>
      </c>
      <c r="E116" s="6">
        <v>45057</v>
      </c>
      <c r="F116" s="6"/>
      <c r="G116" s="7" t="s">
        <v>16</v>
      </c>
      <c r="H116" s="4" t="s">
        <v>23</v>
      </c>
      <c r="I116" s="4" t="s">
        <v>19</v>
      </c>
      <c r="J116" s="8">
        <v>44847</v>
      </c>
      <c r="K116" s="8" t="s">
        <v>66</v>
      </c>
      <c r="L116" s="5" t="s">
        <v>20</v>
      </c>
      <c r="M116" s="5" t="s">
        <v>35</v>
      </c>
      <c r="N116" s="5">
        <v>11.5</v>
      </c>
      <c r="O116" s="9">
        <f>YEAR(Table2[[#This Row],[Date of Joining]])</f>
        <v>2023</v>
      </c>
      <c r="P116" s="9" t="str">
        <f t="shared" ca="1" si="1"/>
        <v>3+ years</v>
      </c>
    </row>
    <row r="117" spans="1:16" x14ac:dyDescent="0.25">
      <c r="A117" s="3" t="s">
        <v>1</v>
      </c>
      <c r="B117" s="3"/>
      <c r="C117" s="4">
        <v>180698</v>
      </c>
      <c r="D117" s="5" t="s">
        <v>197</v>
      </c>
      <c r="E117" s="6">
        <v>45064</v>
      </c>
      <c r="F117" s="6"/>
      <c r="G117" s="7" t="s">
        <v>16</v>
      </c>
      <c r="H117" s="4" t="s">
        <v>23</v>
      </c>
      <c r="I117" s="4" t="s">
        <v>19</v>
      </c>
      <c r="J117" s="8">
        <v>44629</v>
      </c>
      <c r="K117" s="8" t="s">
        <v>63</v>
      </c>
      <c r="L117" s="5" t="s">
        <v>20</v>
      </c>
      <c r="M117" s="5" t="s">
        <v>35</v>
      </c>
      <c r="N117" s="5">
        <v>3.5</v>
      </c>
      <c r="O117" s="9">
        <f>YEAR(Table2[[#This Row],[Date of Joining]])</f>
        <v>2023</v>
      </c>
      <c r="P117" s="9" t="str">
        <f t="shared" ca="1" si="1"/>
        <v>3+ years</v>
      </c>
    </row>
    <row r="118" spans="1:16" x14ac:dyDescent="0.25">
      <c r="A118" s="3" t="s">
        <v>10</v>
      </c>
      <c r="B118" s="3"/>
      <c r="C118" s="4">
        <v>124433</v>
      </c>
      <c r="D118" s="5" t="s">
        <v>198</v>
      </c>
      <c r="E118" s="6">
        <v>45078</v>
      </c>
      <c r="F118" s="6">
        <v>45118</v>
      </c>
      <c r="G118" s="7" t="s">
        <v>22</v>
      </c>
      <c r="H118" s="4" t="s">
        <v>23</v>
      </c>
      <c r="I118" s="4" t="s">
        <v>13</v>
      </c>
      <c r="J118" s="8">
        <v>44867</v>
      </c>
      <c r="K118" s="8" t="s">
        <v>63</v>
      </c>
      <c r="L118" s="5" t="s">
        <v>14</v>
      </c>
      <c r="M118" s="5" t="s">
        <v>26</v>
      </c>
      <c r="N118" s="5">
        <v>0</v>
      </c>
      <c r="O118" s="9">
        <f>YEAR(Table2[[#This Row],[Date of Joining]])</f>
        <v>2023</v>
      </c>
      <c r="P118" s="9" t="str">
        <f t="shared" ca="1" si="1"/>
        <v>3+ years</v>
      </c>
    </row>
    <row r="119" spans="1:16" x14ac:dyDescent="0.25">
      <c r="A119" s="3" t="s">
        <v>1</v>
      </c>
      <c r="B119" s="3" t="s">
        <v>154</v>
      </c>
      <c r="C119" s="4">
        <v>151636</v>
      </c>
      <c r="D119" s="5" t="s">
        <v>199</v>
      </c>
      <c r="E119" s="6">
        <v>45083</v>
      </c>
      <c r="F119" s="6"/>
      <c r="G119" s="7" t="s">
        <v>16</v>
      </c>
      <c r="H119" s="4" t="s">
        <v>23</v>
      </c>
      <c r="I119" s="4" t="s">
        <v>19</v>
      </c>
      <c r="J119" s="8">
        <v>44255</v>
      </c>
      <c r="K119" s="8" t="s">
        <v>63</v>
      </c>
      <c r="L119" s="5" t="s">
        <v>14</v>
      </c>
      <c r="M119" s="5" t="s">
        <v>26</v>
      </c>
      <c r="N119" s="5">
        <v>1.8</v>
      </c>
      <c r="O119" s="9">
        <f>YEAR(Table2[[#This Row],[Date of Joining]])</f>
        <v>2023</v>
      </c>
      <c r="P119" s="9" t="str">
        <f t="shared" ca="1" si="1"/>
        <v>3+ years</v>
      </c>
    </row>
    <row r="120" spans="1:16" x14ac:dyDescent="0.25">
      <c r="A120" s="3" t="s">
        <v>1</v>
      </c>
      <c r="B120" s="3" t="s">
        <v>154</v>
      </c>
      <c r="C120" s="4">
        <v>173529</v>
      </c>
      <c r="D120" s="5" t="s">
        <v>200</v>
      </c>
      <c r="E120" s="6">
        <v>45083</v>
      </c>
      <c r="F120" s="6"/>
      <c r="G120" s="7" t="s">
        <v>16</v>
      </c>
      <c r="H120" s="4" t="s">
        <v>23</v>
      </c>
      <c r="I120" s="4" t="s">
        <v>13</v>
      </c>
      <c r="J120" s="8">
        <v>44204</v>
      </c>
      <c r="K120" s="8" t="s">
        <v>63</v>
      </c>
      <c r="L120" s="5" t="s">
        <v>14</v>
      </c>
      <c r="M120" s="5" t="s">
        <v>26</v>
      </c>
      <c r="N120" s="5">
        <v>1.5</v>
      </c>
      <c r="O120" s="9">
        <f>YEAR(Table2[[#This Row],[Date of Joining]])</f>
        <v>2023</v>
      </c>
      <c r="P120" s="9" t="str">
        <f t="shared" ca="1" si="1"/>
        <v>3+ years</v>
      </c>
    </row>
    <row r="121" spans="1:16" x14ac:dyDescent="0.25">
      <c r="A121" s="3" t="s">
        <v>1</v>
      </c>
      <c r="B121" s="3" t="s">
        <v>154</v>
      </c>
      <c r="C121" s="4">
        <v>116633</v>
      </c>
      <c r="D121" s="5" t="s">
        <v>201</v>
      </c>
      <c r="E121" s="6">
        <v>45083</v>
      </c>
      <c r="F121" s="6"/>
      <c r="G121" s="7" t="s">
        <v>16</v>
      </c>
      <c r="H121" s="4" t="s">
        <v>23</v>
      </c>
      <c r="I121" s="4" t="s">
        <v>13</v>
      </c>
      <c r="J121" s="8">
        <v>44218</v>
      </c>
      <c r="K121" s="8" t="s">
        <v>63</v>
      </c>
      <c r="L121" s="5" t="s">
        <v>14</v>
      </c>
      <c r="M121" s="5" t="s">
        <v>26</v>
      </c>
      <c r="N121" s="5">
        <v>0.11</v>
      </c>
      <c r="O121" s="9">
        <f>YEAR(Table2[[#This Row],[Date of Joining]])</f>
        <v>2023</v>
      </c>
      <c r="P121" s="9" t="str">
        <f t="shared" ca="1" si="1"/>
        <v>3+ years</v>
      </c>
    </row>
    <row r="122" spans="1:16" x14ac:dyDescent="0.25">
      <c r="A122" s="3" t="s">
        <v>1</v>
      </c>
      <c r="B122" s="3" t="s">
        <v>154</v>
      </c>
      <c r="C122" s="4">
        <v>160990</v>
      </c>
      <c r="D122" s="5" t="s">
        <v>202</v>
      </c>
      <c r="E122" s="6">
        <v>45083</v>
      </c>
      <c r="F122" s="6"/>
      <c r="G122" s="7" t="s">
        <v>16</v>
      </c>
      <c r="H122" s="4" t="s">
        <v>23</v>
      </c>
      <c r="I122" s="4" t="s">
        <v>19</v>
      </c>
      <c r="J122" s="8">
        <v>44804</v>
      </c>
      <c r="K122" s="8" t="s">
        <v>63</v>
      </c>
      <c r="L122" s="5" t="s">
        <v>14</v>
      </c>
      <c r="M122" s="5" t="s">
        <v>26</v>
      </c>
      <c r="N122" s="5">
        <v>0</v>
      </c>
      <c r="O122" s="9">
        <f>YEAR(Table2[[#This Row],[Date of Joining]])</f>
        <v>2023</v>
      </c>
      <c r="P122" s="9" t="str">
        <f t="shared" ca="1" si="1"/>
        <v>3+ years</v>
      </c>
    </row>
    <row r="123" spans="1:16" x14ac:dyDescent="0.25">
      <c r="A123" s="3" t="s">
        <v>10</v>
      </c>
      <c r="B123" s="3"/>
      <c r="C123" s="4">
        <v>170513</v>
      </c>
      <c r="D123" s="5" t="s">
        <v>203</v>
      </c>
      <c r="E123" s="6">
        <v>45085</v>
      </c>
      <c r="F123" s="6">
        <v>45382</v>
      </c>
      <c r="G123" s="7" t="s">
        <v>16</v>
      </c>
      <c r="H123" s="4" t="s">
        <v>23</v>
      </c>
      <c r="I123" s="4" t="s">
        <v>13</v>
      </c>
      <c r="J123" s="8">
        <v>44712</v>
      </c>
      <c r="K123" s="8" t="s">
        <v>63</v>
      </c>
      <c r="L123" s="5" t="s">
        <v>20</v>
      </c>
      <c r="M123" s="5" t="s">
        <v>35</v>
      </c>
      <c r="N123" s="5">
        <v>7</v>
      </c>
      <c r="O123" s="9">
        <f>YEAR(Table2[[#This Row],[Date of Joining]])</f>
        <v>2023</v>
      </c>
      <c r="P123" s="9" t="str">
        <f t="shared" ca="1" si="1"/>
        <v>3+ years</v>
      </c>
    </row>
    <row r="124" spans="1:16" x14ac:dyDescent="0.25">
      <c r="A124" s="3" t="s">
        <v>1</v>
      </c>
      <c r="B124" s="3"/>
      <c r="C124" s="4">
        <v>167822</v>
      </c>
      <c r="D124" s="5" t="s">
        <v>204</v>
      </c>
      <c r="E124" s="6">
        <v>45106</v>
      </c>
      <c r="F124" s="6"/>
      <c r="G124" s="7" t="s">
        <v>16</v>
      </c>
      <c r="H124" s="4" t="s">
        <v>23</v>
      </c>
      <c r="I124" s="4" t="s">
        <v>19</v>
      </c>
      <c r="J124" s="8">
        <v>44773</v>
      </c>
      <c r="K124" s="8" t="s">
        <v>66</v>
      </c>
      <c r="L124" s="5" t="s">
        <v>14</v>
      </c>
      <c r="M124" s="5" t="s">
        <v>26</v>
      </c>
      <c r="N124" s="5">
        <v>7</v>
      </c>
      <c r="O124" s="9">
        <f>YEAR(Table2[[#This Row],[Date of Joining]])</f>
        <v>2023</v>
      </c>
      <c r="P124" s="9" t="str">
        <f t="shared" ca="1" si="1"/>
        <v>3+ years</v>
      </c>
    </row>
    <row r="125" spans="1:16" x14ac:dyDescent="0.25">
      <c r="A125" s="3" t="s">
        <v>1</v>
      </c>
      <c r="B125" s="3"/>
      <c r="C125" s="4">
        <v>161037</v>
      </c>
      <c r="D125" s="5" t="s">
        <v>205</v>
      </c>
      <c r="E125" s="6">
        <v>45111</v>
      </c>
      <c r="F125" s="6"/>
      <c r="G125" s="7" t="s">
        <v>16</v>
      </c>
      <c r="H125" s="4" t="s">
        <v>23</v>
      </c>
      <c r="I125" s="4" t="s">
        <v>13</v>
      </c>
      <c r="J125" s="8">
        <v>44629</v>
      </c>
      <c r="K125" s="8" t="s">
        <v>63</v>
      </c>
      <c r="L125" s="5" t="s">
        <v>14</v>
      </c>
      <c r="M125" s="5" t="s">
        <v>35</v>
      </c>
      <c r="N125" s="5">
        <v>5</v>
      </c>
      <c r="O125" s="9">
        <f>YEAR(Table2[[#This Row],[Date of Joining]])</f>
        <v>2023</v>
      </c>
      <c r="P125" s="9" t="str">
        <f t="shared" ca="1" si="1"/>
        <v>3+ years</v>
      </c>
    </row>
    <row r="126" spans="1:16" x14ac:dyDescent="0.25">
      <c r="A126" s="3" t="s">
        <v>1</v>
      </c>
      <c r="B126" s="3"/>
      <c r="C126" s="4">
        <v>153255</v>
      </c>
      <c r="D126" s="5" t="s">
        <v>206</v>
      </c>
      <c r="E126" s="6">
        <v>45120</v>
      </c>
      <c r="F126" s="6"/>
      <c r="G126" s="7" t="s">
        <v>16</v>
      </c>
      <c r="H126" s="4" t="s">
        <v>23</v>
      </c>
      <c r="I126" s="4" t="s">
        <v>13</v>
      </c>
      <c r="J126" s="8">
        <v>44590</v>
      </c>
      <c r="K126" s="8" t="s">
        <v>63</v>
      </c>
      <c r="L126" s="5" t="s">
        <v>14</v>
      </c>
      <c r="M126" s="5" t="s">
        <v>29</v>
      </c>
      <c r="N126" s="5">
        <v>3.8</v>
      </c>
      <c r="O126" s="9">
        <f>YEAR(Table2[[#This Row],[Date of Joining]])</f>
        <v>2023</v>
      </c>
      <c r="P126" s="9" t="str">
        <f t="shared" ca="1" si="1"/>
        <v>3+ years</v>
      </c>
    </row>
    <row r="127" spans="1:16" x14ac:dyDescent="0.25">
      <c r="A127" s="3" t="s">
        <v>1</v>
      </c>
      <c r="B127" s="3"/>
      <c r="C127" s="4">
        <v>123179</v>
      </c>
      <c r="D127" s="5" t="s">
        <v>207</v>
      </c>
      <c r="E127" s="6">
        <v>45125</v>
      </c>
      <c r="F127" s="6"/>
      <c r="G127" s="7" t="s">
        <v>16</v>
      </c>
      <c r="H127" s="4" t="s">
        <v>23</v>
      </c>
      <c r="I127" s="4" t="s">
        <v>13</v>
      </c>
      <c r="J127" s="8">
        <v>44612</v>
      </c>
      <c r="K127" s="8" t="s">
        <v>63</v>
      </c>
      <c r="L127" s="5" t="s">
        <v>20</v>
      </c>
      <c r="M127" s="5" t="s">
        <v>26</v>
      </c>
      <c r="N127" s="5">
        <v>6.5</v>
      </c>
      <c r="O127" s="9">
        <f>YEAR(Table2[[#This Row],[Date of Joining]])</f>
        <v>2023</v>
      </c>
      <c r="P127" s="9" t="str">
        <f t="shared" ca="1" si="1"/>
        <v>3+ years</v>
      </c>
    </row>
    <row r="128" spans="1:16" x14ac:dyDescent="0.25">
      <c r="A128" s="3" t="s">
        <v>1</v>
      </c>
      <c r="B128" s="3"/>
      <c r="C128" s="4">
        <v>189554</v>
      </c>
      <c r="D128" s="5" t="s">
        <v>208</v>
      </c>
      <c r="E128" s="6">
        <v>45134</v>
      </c>
      <c r="F128" s="6"/>
      <c r="G128" s="7" t="s">
        <v>16</v>
      </c>
      <c r="H128" s="4" t="s">
        <v>23</v>
      </c>
      <c r="I128" s="4" t="s">
        <v>13</v>
      </c>
      <c r="J128" s="8">
        <v>44766</v>
      </c>
      <c r="K128" s="8" t="s">
        <v>66</v>
      </c>
      <c r="L128" s="5" t="s">
        <v>20</v>
      </c>
      <c r="M128" s="5" t="s">
        <v>26</v>
      </c>
      <c r="N128" s="5">
        <v>8</v>
      </c>
      <c r="O128" s="9">
        <f>YEAR(Table2[[#This Row],[Date of Joining]])</f>
        <v>2023</v>
      </c>
      <c r="P128" s="9" t="str">
        <f t="shared" ca="1" si="1"/>
        <v>3+ years</v>
      </c>
    </row>
    <row r="129" spans="1:16" x14ac:dyDescent="0.25">
      <c r="A129" s="3" t="s">
        <v>1</v>
      </c>
      <c r="B129" s="3"/>
      <c r="C129" s="4">
        <v>186786</v>
      </c>
      <c r="D129" s="5" t="s">
        <v>209</v>
      </c>
      <c r="E129" s="6">
        <v>45139</v>
      </c>
      <c r="F129" s="6"/>
      <c r="G129" s="7" t="s">
        <v>27</v>
      </c>
      <c r="H129" s="4" t="s">
        <v>23</v>
      </c>
      <c r="I129" s="4" t="s">
        <v>13</v>
      </c>
      <c r="J129" s="8">
        <v>44819</v>
      </c>
      <c r="K129" s="8" t="s">
        <v>63</v>
      </c>
      <c r="L129" s="5" t="s">
        <v>14</v>
      </c>
      <c r="M129" s="5" t="s">
        <v>37</v>
      </c>
      <c r="N129" s="5">
        <v>1.5</v>
      </c>
      <c r="O129" s="9">
        <f>YEAR(Table2[[#This Row],[Date of Joining]])</f>
        <v>2023</v>
      </c>
      <c r="P129" s="9" t="str">
        <f t="shared" ca="1" si="1"/>
        <v>3+ years</v>
      </c>
    </row>
    <row r="130" spans="1:16" x14ac:dyDescent="0.25">
      <c r="A130" s="3" t="s">
        <v>1</v>
      </c>
      <c r="B130" s="3"/>
      <c r="C130" s="4">
        <v>186818</v>
      </c>
      <c r="D130" s="5" t="s">
        <v>210</v>
      </c>
      <c r="E130" s="6">
        <v>45141</v>
      </c>
      <c r="F130" s="6"/>
      <c r="G130" s="7" t="s">
        <v>27</v>
      </c>
      <c r="H130" s="4" t="s">
        <v>23</v>
      </c>
      <c r="I130" s="4" t="s">
        <v>19</v>
      </c>
      <c r="J130" s="8">
        <v>44696</v>
      </c>
      <c r="K130" s="8" t="s">
        <v>63</v>
      </c>
      <c r="L130" s="5" t="s">
        <v>20</v>
      </c>
      <c r="M130" s="5" t="s">
        <v>37</v>
      </c>
      <c r="N130" s="5">
        <v>7</v>
      </c>
      <c r="O130" s="9">
        <f>YEAR(Table2[[#This Row],[Date of Joining]])</f>
        <v>2023</v>
      </c>
      <c r="P130" s="9" t="str">
        <f t="shared" ref="P130:P172" ca="1" si="2">IF(DATEDIF(E130,TODAY(),"Y")&gt;=5,"5+ years",
IF(DATEDIF(E130,TODAY(),"Y")&gt;=4,"4+ years",
IF(DATEDIF(E130,TODAY(),"Y")&gt;=3,"3+ years",
IF(DATEDIF(E130,TODAY(),"Y")&gt;=2,"2+ years",
IF(DATEDIF(E130,TODAY(),"Y")&gt;=1,"1+ years","&lt;1 year")))))</f>
        <v>3+ years</v>
      </c>
    </row>
    <row r="131" spans="1:16" x14ac:dyDescent="0.25">
      <c r="A131" s="3" t="s">
        <v>1</v>
      </c>
      <c r="B131" s="3"/>
      <c r="C131" s="4">
        <v>147963</v>
      </c>
      <c r="D131" s="5" t="s">
        <v>211</v>
      </c>
      <c r="E131" s="6">
        <v>45154</v>
      </c>
      <c r="F131" s="6"/>
      <c r="G131" s="7" t="s">
        <v>16</v>
      </c>
      <c r="H131" s="4" t="s">
        <v>23</v>
      </c>
      <c r="I131" s="4" t="s">
        <v>13</v>
      </c>
      <c r="J131" s="8">
        <v>44620</v>
      </c>
      <c r="K131" s="8" t="s">
        <v>66</v>
      </c>
      <c r="L131" s="5" t="s">
        <v>20</v>
      </c>
      <c r="M131" s="5" t="s">
        <v>35</v>
      </c>
      <c r="N131" s="5">
        <v>15</v>
      </c>
      <c r="O131" s="9">
        <f>YEAR(Table2[[#This Row],[Date of Joining]])</f>
        <v>2023</v>
      </c>
      <c r="P131" s="9" t="str">
        <f t="shared" ca="1" si="2"/>
        <v>3+ years</v>
      </c>
    </row>
    <row r="132" spans="1:16" x14ac:dyDescent="0.25">
      <c r="A132" s="3" t="s">
        <v>1</v>
      </c>
      <c r="B132" s="3"/>
      <c r="C132" s="4">
        <v>150614</v>
      </c>
      <c r="D132" s="5" t="s">
        <v>212</v>
      </c>
      <c r="E132" s="6">
        <v>45181</v>
      </c>
      <c r="F132" s="6"/>
      <c r="G132" s="7" t="s">
        <v>16</v>
      </c>
      <c r="H132" s="4" t="s">
        <v>23</v>
      </c>
      <c r="I132" s="4" t="s">
        <v>19</v>
      </c>
      <c r="J132" s="8">
        <v>44830</v>
      </c>
      <c r="K132" s="8" t="s">
        <v>66</v>
      </c>
      <c r="L132" s="5" t="s">
        <v>20</v>
      </c>
      <c r="M132" s="5" t="s">
        <v>21</v>
      </c>
      <c r="N132" s="5">
        <v>10.7</v>
      </c>
      <c r="O132" s="9">
        <f>YEAR(Table2[[#This Row],[Date of Joining]])</f>
        <v>2023</v>
      </c>
      <c r="P132" s="9" t="str">
        <f t="shared" ca="1" si="2"/>
        <v>3+ years</v>
      </c>
    </row>
    <row r="133" spans="1:16" x14ac:dyDescent="0.25">
      <c r="A133" s="3" t="s">
        <v>1</v>
      </c>
      <c r="B133" s="3"/>
      <c r="C133" s="4">
        <v>137151</v>
      </c>
      <c r="D133" s="5" t="s">
        <v>213</v>
      </c>
      <c r="E133" s="6">
        <v>45195</v>
      </c>
      <c r="F133" s="6"/>
      <c r="G133" s="7" t="s">
        <v>22</v>
      </c>
      <c r="H133" s="4" t="s">
        <v>23</v>
      </c>
      <c r="I133" s="4" t="s">
        <v>13</v>
      </c>
      <c r="J133" s="8">
        <v>44917</v>
      </c>
      <c r="K133" s="8" t="s">
        <v>63</v>
      </c>
      <c r="L133" s="5" t="s">
        <v>14</v>
      </c>
      <c r="M133" s="5" t="s">
        <v>37</v>
      </c>
      <c r="N133" s="5">
        <v>2</v>
      </c>
      <c r="O133" s="9">
        <f>YEAR(Table2[[#This Row],[Date of Joining]])</f>
        <v>2023</v>
      </c>
      <c r="P133" s="9" t="str">
        <f t="shared" ca="1" si="2"/>
        <v>3+ years</v>
      </c>
    </row>
    <row r="134" spans="1:16" x14ac:dyDescent="0.25">
      <c r="A134" s="3" t="s">
        <v>1</v>
      </c>
      <c r="B134" s="3" t="s">
        <v>154</v>
      </c>
      <c r="C134" s="4">
        <v>173998</v>
      </c>
      <c r="D134" s="5" t="s">
        <v>214</v>
      </c>
      <c r="E134" s="6">
        <v>45227</v>
      </c>
      <c r="F134" s="6"/>
      <c r="G134" s="7" t="s">
        <v>16</v>
      </c>
      <c r="H134" s="4" t="s">
        <v>23</v>
      </c>
      <c r="I134" s="4" t="s">
        <v>19</v>
      </c>
      <c r="J134" s="8">
        <v>44271</v>
      </c>
      <c r="K134" s="8" t="s">
        <v>63</v>
      </c>
      <c r="L134" s="5" t="s">
        <v>20</v>
      </c>
      <c r="M134" s="5" t="s">
        <v>15</v>
      </c>
      <c r="N134" s="5">
        <v>5.3</v>
      </c>
      <c r="O134" s="9">
        <f>YEAR(Table2[[#This Row],[Date of Joining]])</f>
        <v>2023</v>
      </c>
      <c r="P134" s="9" t="str">
        <f t="shared" ca="1" si="2"/>
        <v>2+ years</v>
      </c>
    </row>
    <row r="135" spans="1:16" x14ac:dyDescent="0.25">
      <c r="A135" s="3" t="s">
        <v>1</v>
      </c>
      <c r="B135" s="3" t="s">
        <v>154</v>
      </c>
      <c r="C135" s="4">
        <v>103925</v>
      </c>
      <c r="D135" s="5" t="s">
        <v>215</v>
      </c>
      <c r="E135" s="6">
        <v>45260</v>
      </c>
      <c r="F135" s="6"/>
      <c r="G135" s="7" t="s">
        <v>16</v>
      </c>
      <c r="H135" s="4" t="s">
        <v>23</v>
      </c>
      <c r="I135" s="4" t="s">
        <v>19</v>
      </c>
      <c r="J135" s="8">
        <v>44328</v>
      </c>
      <c r="K135" s="8" t="s">
        <v>66</v>
      </c>
      <c r="L135" s="5" t="s">
        <v>14</v>
      </c>
      <c r="M135" s="5" t="s">
        <v>32</v>
      </c>
      <c r="N135" s="5">
        <v>4.5</v>
      </c>
      <c r="O135" s="9">
        <f>YEAR(Table2[[#This Row],[Date of Joining]])</f>
        <v>2023</v>
      </c>
      <c r="P135" s="9" t="str">
        <f t="shared" ca="1" si="2"/>
        <v>2+ years</v>
      </c>
    </row>
    <row r="136" spans="1:16" x14ac:dyDescent="0.25">
      <c r="A136" s="3" t="s">
        <v>1</v>
      </c>
      <c r="B136" s="3"/>
      <c r="C136" s="4">
        <v>118694</v>
      </c>
      <c r="D136" s="5" t="s">
        <v>216</v>
      </c>
      <c r="E136" s="6">
        <v>45265</v>
      </c>
      <c r="F136" s="6"/>
      <c r="G136" s="7" t="s">
        <v>16</v>
      </c>
      <c r="H136" s="4" t="s">
        <v>23</v>
      </c>
      <c r="I136" s="4" t="s">
        <v>19</v>
      </c>
      <c r="J136" s="8">
        <v>44581</v>
      </c>
      <c r="K136" s="8" t="s">
        <v>63</v>
      </c>
      <c r="L136" s="5" t="s">
        <v>14</v>
      </c>
      <c r="M136" s="5" t="s">
        <v>32</v>
      </c>
      <c r="N136" s="5">
        <v>3.5</v>
      </c>
      <c r="O136" s="9">
        <f>YEAR(Table2[[#This Row],[Date of Joining]])</f>
        <v>2023</v>
      </c>
      <c r="P136" s="9" t="str">
        <f t="shared" ca="1" si="2"/>
        <v>2+ years</v>
      </c>
    </row>
    <row r="137" spans="1:16" x14ac:dyDescent="0.25">
      <c r="A137" s="3" t="s">
        <v>1</v>
      </c>
      <c r="B137" s="3"/>
      <c r="C137" s="4">
        <v>195849</v>
      </c>
      <c r="D137" s="5" t="s">
        <v>217</v>
      </c>
      <c r="E137" s="6">
        <v>45265</v>
      </c>
      <c r="F137" s="6"/>
      <c r="G137" s="7" t="s">
        <v>16</v>
      </c>
      <c r="H137" s="4" t="s">
        <v>23</v>
      </c>
      <c r="I137" s="4" t="s">
        <v>13</v>
      </c>
      <c r="J137" s="8">
        <v>44786</v>
      </c>
      <c r="K137" s="8" t="s">
        <v>63</v>
      </c>
      <c r="L137" s="5" t="s">
        <v>14</v>
      </c>
      <c r="M137" s="5" t="s">
        <v>32</v>
      </c>
      <c r="N137" s="5">
        <v>1.5</v>
      </c>
      <c r="O137" s="9">
        <f>YEAR(Table2[[#This Row],[Date of Joining]])</f>
        <v>2023</v>
      </c>
      <c r="P137" s="9" t="str">
        <f t="shared" ca="1" si="2"/>
        <v>2+ years</v>
      </c>
    </row>
    <row r="138" spans="1:16" x14ac:dyDescent="0.25">
      <c r="A138" s="3" t="s">
        <v>1</v>
      </c>
      <c r="B138" s="3"/>
      <c r="C138" s="4">
        <v>182665</v>
      </c>
      <c r="D138" s="5" t="s">
        <v>218</v>
      </c>
      <c r="E138" s="6">
        <v>45267</v>
      </c>
      <c r="F138" s="6"/>
      <c r="G138" s="7" t="s">
        <v>16</v>
      </c>
      <c r="H138" s="4" t="s">
        <v>23</v>
      </c>
      <c r="I138" s="4" t="s">
        <v>13</v>
      </c>
      <c r="J138" s="8">
        <v>44622</v>
      </c>
      <c r="K138" s="8" t="s">
        <v>66</v>
      </c>
      <c r="L138" s="5" t="s">
        <v>20</v>
      </c>
      <c r="M138" s="5" t="s">
        <v>29</v>
      </c>
      <c r="N138" s="5">
        <v>10.9</v>
      </c>
      <c r="O138" s="9">
        <f>YEAR(Table2[[#This Row],[Date of Joining]])</f>
        <v>2023</v>
      </c>
      <c r="P138" s="9" t="str">
        <f t="shared" ca="1" si="2"/>
        <v>2+ years</v>
      </c>
    </row>
    <row r="139" spans="1:16" x14ac:dyDescent="0.25">
      <c r="A139" s="3" t="s">
        <v>1</v>
      </c>
      <c r="B139" s="3"/>
      <c r="C139" s="4">
        <v>151067</v>
      </c>
      <c r="D139" s="5" t="s">
        <v>38</v>
      </c>
      <c r="E139" s="6">
        <v>45272</v>
      </c>
      <c r="F139" s="6"/>
      <c r="G139" s="5" t="s">
        <v>33</v>
      </c>
      <c r="H139" s="4" t="s">
        <v>23</v>
      </c>
      <c r="I139" s="4" t="s">
        <v>13</v>
      </c>
      <c r="J139" s="8">
        <v>44764</v>
      </c>
      <c r="K139" s="8" t="s">
        <v>66</v>
      </c>
      <c r="L139" s="5" t="s">
        <v>14</v>
      </c>
      <c r="M139" s="5" t="s">
        <v>26</v>
      </c>
      <c r="N139" s="5">
        <v>2.8</v>
      </c>
      <c r="O139" s="9">
        <f>YEAR(Table2[[#This Row],[Date of Joining]])</f>
        <v>2023</v>
      </c>
      <c r="P139" s="9" t="str">
        <f t="shared" ca="1" si="2"/>
        <v>2+ years</v>
      </c>
    </row>
    <row r="140" spans="1:16" x14ac:dyDescent="0.25">
      <c r="A140" s="3" t="s">
        <v>1</v>
      </c>
      <c r="B140" s="3" t="s">
        <v>154</v>
      </c>
      <c r="C140" s="4">
        <v>188212</v>
      </c>
      <c r="D140" s="5" t="s">
        <v>219</v>
      </c>
      <c r="E140" s="6">
        <v>45274</v>
      </c>
      <c r="F140" s="6"/>
      <c r="G140" s="7" t="s">
        <v>16</v>
      </c>
      <c r="H140" s="4" t="s">
        <v>23</v>
      </c>
      <c r="I140" s="4" t="s">
        <v>19</v>
      </c>
      <c r="J140" s="8">
        <v>44542</v>
      </c>
      <c r="K140" s="8" t="s">
        <v>66</v>
      </c>
      <c r="L140" s="5" t="s">
        <v>20</v>
      </c>
      <c r="M140" s="5" t="s">
        <v>29</v>
      </c>
      <c r="N140" s="5">
        <v>7.5</v>
      </c>
      <c r="O140" s="9">
        <f>YEAR(Table2[[#This Row],[Date of Joining]])</f>
        <v>2023</v>
      </c>
      <c r="P140" s="9" t="str">
        <f t="shared" ca="1" si="2"/>
        <v>2+ years</v>
      </c>
    </row>
    <row r="141" spans="1:16" x14ac:dyDescent="0.25">
      <c r="A141" s="3" t="s">
        <v>1</v>
      </c>
      <c r="B141" s="3" t="s">
        <v>154</v>
      </c>
      <c r="C141" s="4">
        <v>188527</v>
      </c>
      <c r="D141" s="5" t="s">
        <v>220</v>
      </c>
      <c r="E141" s="6">
        <v>45274</v>
      </c>
      <c r="F141" s="6"/>
      <c r="G141" s="7" t="s">
        <v>16</v>
      </c>
      <c r="H141" s="4" t="s">
        <v>23</v>
      </c>
      <c r="I141" s="4" t="s">
        <v>13</v>
      </c>
      <c r="J141" s="8">
        <v>44701</v>
      </c>
      <c r="K141" s="8" t="s">
        <v>63</v>
      </c>
      <c r="L141" s="5" t="s">
        <v>14</v>
      </c>
      <c r="M141" s="5" t="s">
        <v>32</v>
      </c>
      <c r="N141" s="5">
        <v>10</v>
      </c>
      <c r="O141" s="9">
        <f>YEAR(Table2[[#This Row],[Date of Joining]])</f>
        <v>2023</v>
      </c>
      <c r="P141" s="9" t="str">
        <f t="shared" ca="1" si="2"/>
        <v>2+ years</v>
      </c>
    </row>
    <row r="142" spans="1:16" x14ac:dyDescent="0.25">
      <c r="A142" s="3" t="s">
        <v>1</v>
      </c>
      <c r="B142" s="3"/>
      <c r="C142" s="4">
        <v>151539</v>
      </c>
      <c r="D142" s="5" t="s">
        <v>221</v>
      </c>
      <c r="E142" s="6">
        <v>45279</v>
      </c>
      <c r="F142" s="6"/>
      <c r="G142" s="7" t="s">
        <v>16</v>
      </c>
      <c r="H142" s="4" t="s">
        <v>23</v>
      </c>
      <c r="I142" s="4" t="s">
        <v>13</v>
      </c>
      <c r="J142" s="8">
        <v>44613</v>
      </c>
      <c r="K142" s="8" t="s">
        <v>63</v>
      </c>
      <c r="L142" s="5" t="s">
        <v>14</v>
      </c>
      <c r="M142" s="5" t="s">
        <v>32</v>
      </c>
      <c r="N142" s="5">
        <v>0</v>
      </c>
      <c r="O142" s="9">
        <f>YEAR(Table2[[#This Row],[Date of Joining]])</f>
        <v>2023</v>
      </c>
      <c r="P142" s="9" t="str">
        <f t="shared" ca="1" si="2"/>
        <v>2+ years</v>
      </c>
    </row>
    <row r="143" spans="1:16" x14ac:dyDescent="0.25">
      <c r="A143" s="3" t="s">
        <v>1</v>
      </c>
      <c r="B143" s="3"/>
      <c r="C143" s="4">
        <v>148895</v>
      </c>
      <c r="D143" s="5" t="s">
        <v>222</v>
      </c>
      <c r="E143" s="6">
        <v>45288</v>
      </c>
      <c r="F143" s="6"/>
      <c r="G143" s="5" t="s">
        <v>33</v>
      </c>
      <c r="H143" s="4" t="s">
        <v>23</v>
      </c>
      <c r="I143" s="4" t="s">
        <v>13</v>
      </c>
      <c r="J143" s="8">
        <v>44668</v>
      </c>
      <c r="K143" s="8" t="s">
        <v>63</v>
      </c>
      <c r="L143" s="5" t="s">
        <v>14</v>
      </c>
      <c r="M143" s="5" t="s">
        <v>26</v>
      </c>
      <c r="N143" s="5">
        <v>0</v>
      </c>
      <c r="O143" s="9">
        <f>YEAR(Table2[[#This Row],[Date of Joining]])</f>
        <v>2023</v>
      </c>
      <c r="P143" s="9" t="str">
        <f t="shared" ca="1" si="2"/>
        <v>2+ years</v>
      </c>
    </row>
    <row r="144" spans="1:16" x14ac:dyDescent="0.25">
      <c r="A144" s="3" t="s">
        <v>1</v>
      </c>
      <c r="B144" s="3" t="s">
        <v>154</v>
      </c>
      <c r="C144" s="4">
        <v>114477</v>
      </c>
      <c r="D144" s="5" t="s">
        <v>223</v>
      </c>
      <c r="E144" s="6">
        <v>45295</v>
      </c>
      <c r="F144" s="6"/>
      <c r="G144" s="7" t="s">
        <v>16</v>
      </c>
      <c r="H144" s="4" t="s">
        <v>23</v>
      </c>
      <c r="I144" s="4" t="s">
        <v>19</v>
      </c>
      <c r="J144" s="8">
        <v>44386</v>
      </c>
      <c r="K144" s="8" t="s">
        <v>63</v>
      </c>
      <c r="L144" s="5" t="s">
        <v>14</v>
      </c>
      <c r="M144" s="5" t="s">
        <v>32</v>
      </c>
      <c r="N144" s="5">
        <v>1.6</v>
      </c>
      <c r="O144" s="9">
        <f>YEAR(Table2[[#This Row],[Date of Joining]])</f>
        <v>2024</v>
      </c>
      <c r="P144" s="9" t="str">
        <f t="shared" ca="1" si="2"/>
        <v>2+ years</v>
      </c>
    </row>
    <row r="145" spans="1:16" x14ac:dyDescent="0.25">
      <c r="A145" s="3" t="s">
        <v>1</v>
      </c>
      <c r="B145" s="3"/>
      <c r="C145" s="4">
        <v>170085</v>
      </c>
      <c r="D145" s="5" t="s">
        <v>224</v>
      </c>
      <c r="E145" s="6">
        <v>45302</v>
      </c>
      <c r="F145" s="6"/>
      <c r="G145" s="7" t="s">
        <v>16</v>
      </c>
      <c r="H145" s="4" t="s">
        <v>23</v>
      </c>
      <c r="I145" s="4" t="s">
        <v>19</v>
      </c>
      <c r="J145" s="8">
        <v>45144</v>
      </c>
      <c r="K145" s="8" t="s">
        <v>63</v>
      </c>
      <c r="L145" s="5" t="s">
        <v>14</v>
      </c>
      <c r="M145" s="5" t="s">
        <v>32</v>
      </c>
      <c r="N145" s="5">
        <v>3.5</v>
      </c>
      <c r="O145" s="9">
        <f>YEAR(Table2[[#This Row],[Date of Joining]])</f>
        <v>2024</v>
      </c>
      <c r="P145" s="9" t="str">
        <f t="shared" ca="1" si="2"/>
        <v>2+ years</v>
      </c>
    </row>
    <row r="146" spans="1:16" x14ac:dyDescent="0.25">
      <c r="A146" s="3" t="s">
        <v>1</v>
      </c>
      <c r="B146" s="3"/>
      <c r="C146" s="4">
        <v>148355</v>
      </c>
      <c r="D146" s="5" t="s">
        <v>225</v>
      </c>
      <c r="E146" s="6">
        <v>45302</v>
      </c>
      <c r="F146" s="6"/>
      <c r="G146" s="7" t="s">
        <v>27</v>
      </c>
      <c r="H146" s="4" t="s">
        <v>23</v>
      </c>
      <c r="I146" s="4" t="s">
        <v>19</v>
      </c>
      <c r="J146" s="8">
        <v>44433</v>
      </c>
      <c r="K146" s="8" t="s">
        <v>63</v>
      </c>
      <c r="L146" s="5" t="s">
        <v>14</v>
      </c>
      <c r="M146" s="5" t="s">
        <v>26</v>
      </c>
      <c r="N146" s="5">
        <v>14</v>
      </c>
      <c r="O146" s="9">
        <f>YEAR(Table2[[#This Row],[Date of Joining]])</f>
        <v>2024</v>
      </c>
      <c r="P146" s="9" t="str">
        <f t="shared" ca="1" si="2"/>
        <v>2+ years</v>
      </c>
    </row>
    <row r="147" spans="1:16" x14ac:dyDescent="0.25">
      <c r="A147" s="3" t="s">
        <v>1</v>
      </c>
      <c r="B147" s="3"/>
      <c r="C147" s="4">
        <v>132724</v>
      </c>
      <c r="D147" s="5" t="s">
        <v>226</v>
      </c>
      <c r="E147" s="6">
        <v>45314</v>
      </c>
      <c r="F147" s="6"/>
      <c r="G147" s="5" t="s">
        <v>38</v>
      </c>
      <c r="H147" s="4" t="s">
        <v>23</v>
      </c>
      <c r="I147" s="4" t="s">
        <v>19</v>
      </c>
      <c r="J147" s="8">
        <v>45021</v>
      </c>
      <c r="K147" s="8" t="s">
        <v>63</v>
      </c>
      <c r="L147" s="5" t="s">
        <v>14</v>
      </c>
      <c r="M147" s="5" t="s">
        <v>32</v>
      </c>
      <c r="N147" s="5">
        <v>0.6</v>
      </c>
      <c r="O147" s="9">
        <f>YEAR(Table2[[#This Row],[Date of Joining]])</f>
        <v>2024</v>
      </c>
      <c r="P147" s="9" t="str">
        <f t="shared" ca="1" si="2"/>
        <v>2+ years</v>
      </c>
    </row>
    <row r="148" spans="1:16" x14ac:dyDescent="0.25">
      <c r="A148" s="3" t="s">
        <v>1</v>
      </c>
      <c r="B148" s="3"/>
      <c r="C148" s="4">
        <v>136024</v>
      </c>
      <c r="D148" s="5" t="s">
        <v>227</v>
      </c>
      <c r="E148" s="6">
        <v>45314</v>
      </c>
      <c r="F148" s="6"/>
      <c r="G148" s="7" t="s">
        <v>22</v>
      </c>
      <c r="H148" s="4" t="s">
        <v>23</v>
      </c>
      <c r="I148" s="4" t="s">
        <v>19</v>
      </c>
      <c r="J148" s="8">
        <v>44524</v>
      </c>
      <c r="K148" s="8" t="s">
        <v>63</v>
      </c>
      <c r="L148" s="5" t="s">
        <v>25</v>
      </c>
      <c r="M148" s="5" t="s">
        <v>26</v>
      </c>
      <c r="N148" s="5">
        <v>14</v>
      </c>
      <c r="O148" s="9">
        <f>YEAR(Table2[[#This Row],[Date of Joining]])</f>
        <v>2024</v>
      </c>
      <c r="P148" s="9" t="str">
        <f t="shared" ca="1" si="2"/>
        <v>2+ years</v>
      </c>
    </row>
    <row r="149" spans="1:16" x14ac:dyDescent="0.25">
      <c r="A149" s="3" t="s">
        <v>1</v>
      </c>
      <c r="B149" s="3" t="s">
        <v>154</v>
      </c>
      <c r="C149" s="4">
        <v>186654</v>
      </c>
      <c r="D149" s="5" t="s">
        <v>228</v>
      </c>
      <c r="E149" s="6">
        <v>45323</v>
      </c>
      <c r="F149" s="6"/>
      <c r="G149" s="7" t="s">
        <v>16</v>
      </c>
      <c r="H149" s="4" t="s">
        <v>23</v>
      </c>
      <c r="I149" s="4" t="s">
        <v>13</v>
      </c>
      <c r="J149" s="8">
        <v>44708</v>
      </c>
      <c r="K149" s="8" t="s">
        <v>63</v>
      </c>
      <c r="L149" s="5" t="s">
        <v>14</v>
      </c>
      <c r="M149" s="5" t="s">
        <v>26</v>
      </c>
      <c r="N149" s="5">
        <v>3.3</v>
      </c>
      <c r="O149" s="9">
        <f>YEAR(Table2[[#This Row],[Date of Joining]])</f>
        <v>2024</v>
      </c>
      <c r="P149" s="9" t="str">
        <f t="shared" ca="1" si="2"/>
        <v>2+ years</v>
      </c>
    </row>
    <row r="150" spans="1:16" x14ac:dyDescent="0.25">
      <c r="A150" s="3" t="s">
        <v>1</v>
      </c>
      <c r="B150" s="3"/>
      <c r="C150" s="4">
        <v>140505</v>
      </c>
      <c r="D150" s="5" t="s">
        <v>229</v>
      </c>
      <c r="E150" s="6">
        <v>45323</v>
      </c>
      <c r="F150" s="6"/>
      <c r="G150" s="7" t="s">
        <v>27</v>
      </c>
      <c r="H150" s="4" t="s">
        <v>23</v>
      </c>
      <c r="I150" s="4" t="s">
        <v>13</v>
      </c>
      <c r="J150" s="8">
        <v>44504</v>
      </c>
      <c r="K150" s="8" t="s">
        <v>63</v>
      </c>
      <c r="L150" s="5" t="s">
        <v>14</v>
      </c>
      <c r="M150" s="5" t="s">
        <v>26</v>
      </c>
      <c r="N150" s="5">
        <v>13</v>
      </c>
      <c r="O150" s="9">
        <f>YEAR(Table2[[#This Row],[Date of Joining]])</f>
        <v>2024</v>
      </c>
      <c r="P150" s="9" t="str">
        <f t="shared" ca="1" si="2"/>
        <v>2+ years</v>
      </c>
    </row>
    <row r="151" spans="1:16" x14ac:dyDescent="0.25">
      <c r="A151" s="3" t="s">
        <v>1</v>
      </c>
      <c r="B151" s="3"/>
      <c r="C151" s="4">
        <v>166500</v>
      </c>
      <c r="D151" s="5" t="s">
        <v>230</v>
      </c>
      <c r="E151" s="6">
        <v>45328</v>
      </c>
      <c r="F151" s="6"/>
      <c r="G151" s="7" t="s">
        <v>16</v>
      </c>
      <c r="H151" s="4" t="s">
        <v>23</v>
      </c>
      <c r="I151" s="4" t="s">
        <v>13</v>
      </c>
      <c r="J151" s="8">
        <v>44906</v>
      </c>
      <c r="K151" s="8" t="s">
        <v>63</v>
      </c>
      <c r="L151" s="5" t="s">
        <v>14</v>
      </c>
      <c r="M151" s="5" t="s">
        <v>29</v>
      </c>
      <c r="N151" s="5">
        <v>1.5</v>
      </c>
      <c r="O151" s="9">
        <f>YEAR(Table2[[#This Row],[Date of Joining]])</f>
        <v>2024</v>
      </c>
      <c r="P151" s="9" t="str">
        <f t="shared" ca="1" si="2"/>
        <v>2+ years</v>
      </c>
    </row>
    <row r="152" spans="1:16" x14ac:dyDescent="0.25">
      <c r="A152" s="3" t="s">
        <v>1</v>
      </c>
      <c r="B152" s="3" t="s">
        <v>154</v>
      </c>
      <c r="C152" s="4">
        <v>196256</v>
      </c>
      <c r="D152" s="5" t="s">
        <v>231</v>
      </c>
      <c r="E152" s="6">
        <v>45366</v>
      </c>
      <c r="F152" s="6"/>
      <c r="G152" s="7" t="s">
        <v>16</v>
      </c>
      <c r="H152" s="4" t="s">
        <v>23</v>
      </c>
      <c r="I152" s="4" t="s">
        <v>13</v>
      </c>
      <c r="J152" s="8">
        <v>44319</v>
      </c>
      <c r="K152" s="8" t="s">
        <v>66</v>
      </c>
      <c r="L152" s="5" t="s">
        <v>14</v>
      </c>
      <c r="M152" s="5" t="s">
        <v>26</v>
      </c>
      <c r="N152" s="5">
        <v>3</v>
      </c>
      <c r="O152" s="9">
        <f>YEAR(Table2[[#This Row],[Date of Joining]])</f>
        <v>2024</v>
      </c>
      <c r="P152" s="9" t="str">
        <f t="shared" ca="1" si="2"/>
        <v>2+ years</v>
      </c>
    </row>
    <row r="153" spans="1:16" x14ac:dyDescent="0.25">
      <c r="A153" s="3" t="s">
        <v>1</v>
      </c>
      <c r="B153" s="3"/>
      <c r="C153" s="4">
        <v>107622</v>
      </c>
      <c r="D153" s="5" t="s">
        <v>232</v>
      </c>
      <c r="E153" s="6">
        <v>45366</v>
      </c>
      <c r="F153" s="6"/>
      <c r="G153" s="7" t="s">
        <v>22</v>
      </c>
      <c r="H153" s="4" t="s">
        <v>23</v>
      </c>
      <c r="I153" s="4" t="s">
        <v>13</v>
      </c>
      <c r="J153" s="8">
        <v>44314</v>
      </c>
      <c r="K153" s="8" t="s">
        <v>63</v>
      </c>
      <c r="L153" s="5" t="s">
        <v>20</v>
      </c>
      <c r="M153" s="5" t="s">
        <v>26</v>
      </c>
      <c r="N153" s="5">
        <v>13</v>
      </c>
      <c r="O153" s="9">
        <f>YEAR(Table2[[#This Row],[Date of Joining]])</f>
        <v>2024</v>
      </c>
      <c r="P153" s="9" t="str">
        <f t="shared" ca="1" si="2"/>
        <v>2+ years</v>
      </c>
    </row>
    <row r="154" spans="1:16" x14ac:dyDescent="0.25">
      <c r="A154" s="3" t="s">
        <v>1</v>
      </c>
      <c r="B154" s="3"/>
      <c r="C154" s="4">
        <v>140845</v>
      </c>
      <c r="D154" s="5" t="s">
        <v>233</v>
      </c>
      <c r="E154" s="6">
        <v>45374</v>
      </c>
      <c r="F154" s="6"/>
      <c r="G154" s="5" t="s">
        <v>33</v>
      </c>
      <c r="H154" s="4" t="s">
        <v>23</v>
      </c>
      <c r="I154" s="4" t="s">
        <v>19</v>
      </c>
      <c r="J154" s="8">
        <v>45081</v>
      </c>
      <c r="K154" s="8" t="s">
        <v>63</v>
      </c>
      <c r="L154" s="5" t="s">
        <v>20</v>
      </c>
      <c r="M154" s="5" t="s">
        <v>26</v>
      </c>
      <c r="N154" s="5">
        <v>10</v>
      </c>
      <c r="O154" s="9">
        <f>YEAR(Table2[[#This Row],[Date of Joining]])</f>
        <v>2024</v>
      </c>
      <c r="P154" s="9" t="str">
        <f t="shared" ca="1" si="2"/>
        <v>2+ years</v>
      </c>
    </row>
    <row r="155" spans="1:16" x14ac:dyDescent="0.25">
      <c r="A155" s="3" t="s">
        <v>1</v>
      </c>
      <c r="B155" s="3"/>
      <c r="C155" s="4">
        <v>196163</v>
      </c>
      <c r="D155" s="5" t="s">
        <v>234</v>
      </c>
      <c r="E155" s="6">
        <v>45374</v>
      </c>
      <c r="F155" s="6"/>
      <c r="G155" s="5" t="s">
        <v>38</v>
      </c>
      <c r="H155" s="4" t="s">
        <v>23</v>
      </c>
      <c r="I155" s="4" t="s">
        <v>19</v>
      </c>
      <c r="J155" s="8">
        <v>44911</v>
      </c>
      <c r="K155" s="8" t="s">
        <v>63</v>
      </c>
      <c r="L155" s="5" t="s">
        <v>14</v>
      </c>
      <c r="M155" s="5" t="s">
        <v>26</v>
      </c>
      <c r="N155" s="5">
        <v>6.8</v>
      </c>
      <c r="O155" s="9">
        <f>YEAR(Table2[[#This Row],[Date of Joining]])</f>
        <v>2024</v>
      </c>
      <c r="P155" s="9" t="str">
        <f t="shared" ca="1" si="2"/>
        <v>2+ years</v>
      </c>
    </row>
    <row r="156" spans="1:16" x14ac:dyDescent="0.25">
      <c r="A156" s="3" t="s">
        <v>1</v>
      </c>
      <c r="B156" s="3"/>
      <c r="C156" s="4">
        <v>143527</v>
      </c>
      <c r="D156" s="5" t="s">
        <v>235</v>
      </c>
      <c r="E156" s="6">
        <v>45374</v>
      </c>
      <c r="F156" s="6"/>
      <c r="G156" s="7" t="s">
        <v>27</v>
      </c>
      <c r="H156" s="4" t="s">
        <v>23</v>
      </c>
      <c r="I156" s="4" t="s">
        <v>19</v>
      </c>
      <c r="J156" s="8">
        <v>44241</v>
      </c>
      <c r="K156" s="8" t="s">
        <v>66</v>
      </c>
      <c r="L156" s="5" t="s">
        <v>25</v>
      </c>
      <c r="M156" s="5" t="s">
        <v>32</v>
      </c>
      <c r="N156" s="5">
        <v>7</v>
      </c>
      <c r="O156" s="9">
        <f>YEAR(Table2[[#This Row],[Date of Joining]])</f>
        <v>2024</v>
      </c>
      <c r="P156" s="9" t="str">
        <f t="shared" ca="1" si="2"/>
        <v>2+ years</v>
      </c>
    </row>
    <row r="157" spans="1:16" x14ac:dyDescent="0.25">
      <c r="A157" s="3" t="s">
        <v>1</v>
      </c>
      <c r="B157" s="3"/>
      <c r="C157" s="4">
        <v>121781</v>
      </c>
      <c r="D157" s="5" t="s">
        <v>236</v>
      </c>
      <c r="E157" s="6">
        <v>45374</v>
      </c>
      <c r="F157" s="6"/>
      <c r="G157" s="7" t="s">
        <v>27</v>
      </c>
      <c r="H157" s="4" t="s">
        <v>23</v>
      </c>
      <c r="I157" s="4" t="s">
        <v>19</v>
      </c>
      <c r="J157" s="8">
        <v>44266</v>
      </c>
      <c r="K157" s="8" t="s">
        <v>63</v>
      </c>
      <c r="L157" s="5" t="s">
        <v>25</v>
      </c>
      <c r="M157" s="5" t="s">
        <v>32</v>
      </c>
      <c r="N157" s="5">
        <v>13</v>
      </c>
      <c r="O157" s="9">
        <f>YEAR(Table2[[#This Row],[Date of Joining]])</f>
        <v>2024</v>
      </c>
      <c r="P157" s="9" t="str">
        <f t="shared" ca="1" si="2"/>
        <v>2+ years</v>
      </c>
    </row>
    <row r="158" spans="1:16" x14ac:dyDescent="0.25">
      <c r="A158" s="3" t="s">
        <v>1</v>
      </c>
      <c r="B158" s="3" t="s">
        <v>154</v>
      </c>
      <c r="C158" s="4">
        <v>190716</v>
      </c>
      <c r="D158" s="5" t="s">
        <v>237</v>
      </c>
      <c r="E158" s="6">
        <v>45385</v>
      </c>
      <c r="F158" s="6"/>
      <c r="G158" s="5" t="s">
        <v>33</v>
      </c>
      <c r="H158" s="4" t="s">
        <v>23</v>
      </c>
      <c r="I158" s="4" t="s">
        <v>13</v>
      </c>
      <c r="J158" s="8">
        <v>44362</v>
      </c>
      <c r="K158" s="8" t="s">
        <v>66</v>
      </c>
      <c r="L158" s="5" t="s">
        <v>14</v>
      </c>
      <c r="M158" s="5" t="s">
        <v>32</v>
      </c>
      <c r="N158" s="5">
        <v>4</v>
      </c>
      <c r="O158" s="9">
        <f>YEAR(Table2[[#This Row],[Date of Joining]])</f>
        <v>2024</v>
      </c>
      <c r="P158" s="9" t="str">
        <f t="shared" ca="1" si="2"/>
        <v>2+ years</v>
      </c>
    </row>
    <row r="159" spans="1:16" x14ac:dyDescent="0.25">
      <c r="A159" s="3" t="s">
        <v>1</v>
      </c>
      <c r="B159" s="3"/>
      <c r="C159" s="4">
        <v>131453</v>
      </c>
      <c r="D159" s="5" t="s">
        <v>238</v>
      </c>
      <c r="E159" s="6">
        <v>45385</v>
      </c>
      <c r="F159" s="6"/>
      <c r="G159" s="7" t="s">
        <v>22</v>
      </c>
      <c r="H159" s="4" t="s">
        <v>23</v>
      </c>
      <c r="I159" s="4" t="s">
        <v>19</v>
      </c>
      <c r="J159" s="8">
        <v>44940</v>
      </c>
      <c r="K159" s="8" t="s">
        <v>63</v>
      </c>
      <c r="L159" s="5" t="s">
        <v>14</v>
      </c>
      <c r="M159" s="5" t="s">
        <v>35</v>
      </c>
      <c r="N159" s="5">
        <v>8</v>
      </c>
      <c r="O159" s="9">
        <f>YEAR(Table2[[#This Row],[Date of Joining]])</f>
        <v>2024</v>
      </c>
      <c r="P159" s="9" t="str">
        <f t="shared" ca="1" si="2"/>
        <v>2+ years</v>
      </c>
    </row>
    <row r="160" spans="1:16" x14ac:dyDescent="0.25">
      <c r="A160" s="3" t="s">
        <v>1</v>
      </c>
      <c r="B160" s="3"/>
      <c r="C160" s="4">
        <v>133611</v>
      </c>
      <c r="D160" s="5" t="s">
        <v>239</v>
      </c>
      <c r="E160" s="6">
        <v>45401</v>
      </c>
      <c r="F160" s="6"/>
      <c r="G160" s="7" t="s">
        <v>22</v>
      </c>
      <c r="H160" s="4" t="s">
        <v>23</v>
      </c>
      <c r="I160" s="4" t="s">
        <v>13</v>
      </c>
      <c r="J160" s="8">
        <v>36300</v>
      </c>
      <c r="K160" s="8" t="s">
        <v>63</v>
      </c>
      <c r="L160" s="5" t="s">
        <v>14</v>
      </c>
      <c r="M160" s="5" t="s">
        <v>37</v>
      </c>
      <c r="N160" s="5">
        <v>0</v>
      </c>
      <c r="O160" s="9">
        <f>YEAR(Table2[[#This Row],[Date of Joining]])</f>
        <v>2024</v>
      </c>
      <c r="P160" s="9" t="str">
        <f t="shared" ca="1" si="2"/>
        <v>2+ years</v>
      </c>
    </row>
    <row r="161" spans="1:16" x14ac:dyDescent="0.25">
      <c r="A161" s="3" t="s">
        <v>1</v>
      </c>
      <c r="B161" s="3"/>
      <c r="C161" s="4">
        <v>158773</v>
      </c>
      <c r="D161" s="5" t="s">
        <v>240</v>
      </c>
      <c r="E161" s="6">
        <v>45427</v>
      </c>
      <c r="F161" s="6"/>
      <c r="G161" s="5" t="s">
        <v>33</v>
      </c>
      <c r="H161" s="4" t="s">
        <v>23</v>
      </c>
      <c r="I161" s="4" t="s">
        <v>19</v>
      </c>
      <c r="J161" s="8">
        <v>45073</v>
      </c>
      <c r="K161" s="8" t="s">
        <v>63</v>
      </c>
      <c r="L161" s="5" t="s">
        <v>14</v>
      </c>
      <c r="M161" s="5" t="s">
        <v>32</v>
      </c>
      <c r="N161" s="5">
        <v>3</v>
      </c>
      <c r="O161" s="9">
        <f>YEAR(Table2[[#This Row],[Date of Joining]])</f>
        <v>2024</v>
      </c>
      <c r="P161" s="9" t="str">
        <f t="shared" ca="1" si="2"/>
        <v>2+ years</v>
      </c>
    </row>
    <row r="162" spans="1:16" x14ac:dyDescent="0.25">
      <c r="A162" s="3" t="s">
        <v>1</v>
      </c>
      <c r="B162" s="3"/>
      <c r="C162" s="4">
        <v>109333</v>
      </c>
      <c r="D162" s="5" t="s">
        <v>241</v>
      </c>
      <c r="E162" s="6">
        <v>45434</v>
      </c>
      <c r="F162" s="6"/>
      <c r="G162" s="7" t="s">
        <v>16</v>
      </c>
      <c r="H162" s="4" t="s">
        <v>23</v>
      </c>
      <c r="I162" s="4" t="s">
        <v>19</v>
      </c>
      <c r="J162" s="8">
        <v>45142</v>
      </c>
      <c r="K162" s="8" t="s">
        <v>66</v>
      </c>
      <c r="L162" s="5" t="s">
        <v>20</v>
      </c>
      <c r="M162" s="5" t="s">
        <v>29</v>
      </c>
      <c r="N162" s="5">
        <v>10</v>
      </c>
      <c r="O162" s="9">
        <f>YEAR(Table2[[#This Row],[Date of Joining]])</f>
        <v>2024</v>
      </c>
      <c r="P162" s="9" t="str">
        <f t="shared" ca="1" si="2"/>
        <v>2+ years</v>
      </c>
    </row>
    <row r="163" spans="1:16" x14ac:dyDescent="0.25">
      <c r="A163" s="3" t="s">
        <v>1</v>
      </c>
      <c r="B163" s="3"/>
      <c r="C163" s="4">
        <v>165233</v>
      </c>
      <c r="D163" s="5" t="s">
        <v>242</v>
      </c>
      <c r="E163" s="6">
        <v>45455</v>
      </c>
      <c r="F163" s="6"/>
      <c r="G163" s="7" t="s">
        <v>16</v>
      </c>
      <c r="H163" s="4" t="s">
        <v>23</v>
      </c>
      <c r="I163" s="4" t="s">
        <v>19</v>
      </c>
      <c r="J163" s="8">
        <v>45022</v>
      </c>
      <c r="K163" s="8" t="s">
        <v>63</v>
      </c>
      <c r="L163" s="5" t="s">
        <v>14</v>
      </c>
      <c r="M163" s="5" t="s">
        <v>32</v>
      </c>
      <c r="N163" s="5">
        <v>1.2</v>
      </c>
      <c r="O163" s="9">
        <f>YEAR(Table2[[#This Row],[Date of Joining]])</f>
        <v>2024</v>
      </c>
      <c r="P163" s="9" t="str">
        <f t="shared" ca="1" si="2"/>
        <v>2+ years</v>
      </c>
    </row>
    <row r="164" spans="1:16" x14ac:dyDescent="0.25">
      <c r="A164" s="3" t="s">
        <v>1</v>
      </c>
      <c r="B164" s="3" t="s">
        <v>154</v>
      </c>
      <c r="C164" s="4">
        <v>103360</v>
      </c>
      <c r="D164" s="5" t="s">
        <v>243</v>
      </c>
      <c r="E164" s="6">
        <v>45569</v>
      </c>
      <c r="F164" s="6"/>
      <c r="G164" s="7" t="s">
        <v>16</v>
      </c>
      <c r="H164" s="4" t="s">
        <v>23</v>
      </c>
      <c r="I164" s="4" t="s">
        <v>13</v>
      </c>
      <c r="J164" s="8">
        <v>36982</v>
      </c>
      <c r="K164" s="8" t="s">
        <v>63</v>
      </c>
      <c r="L164" s="5" t="s">
        <v>14</v>
      </c>
      <c r="M164" s="5" t="s">
        <v>26</v>
      </c>
      <c r="N164" s="5">
        <v>0.11</v>
      </c>
      <c r="O164" s="9">
        <f>YEAR(Table2[[#This Row],[Date of Joining]])</f>
        <v>2024</v>
      </c>
      <c r="P164" s="9" t="str">
        <f t="shared" ca="1" si="2"/>
        <v>2+ years</v>
      </c>
    </row>
    <row r="165" spans="1:16" x14ac:dyDescent="0.25">
      <c r="A165" s="3" t="s">
        <v>1</v>
      </c>
      <c r="B165" s="3"/>
      <c r="C165" s="4">
        <v>168841</v>
      </c>
      <c r="D165" s="5" t="s">
        <v>36</v>
      </c>
      <c r="E165" s="6">
        <v>45569</v>
      </c>
      <c r="F165" s="6"/>
      <c r="G165" s="7" t="s">
        <v>16</v>
      </c>
      <c r="H165" s="4" t="s">
        <v>23</v>
      </c>
      <c r="I165" s="4" t="s">
        <v>19</v>
      </c>
      <c r="J165" s="8">
        <v>29954</v>
      </c>
      <c r="K165" s="8" t="s">
        <v>66</v>
      </c>
      <c r="L165" s="5" t="s">
        <v>25</v>
      </c>
      <c r="M165" s="5" t="s">
        <v>37</v>
      </c>
      <c r="N165" s="5">
        <v>19</v>
      </c>
      <c r="O165" s="9">
        <f>YEAR(Table2[[#This Row],[Date of Joining]])</f>
        <v>2024</v>
      </c>
      <c r="P165" s="9" t="str">
        <f t="shared" ca="1" si="2"/>
        <v>2+ years</v>
      </c>
    </row>
    <row r="166" spans="1:16" x14ac:dyDescent="0.25">
      <c r="A166" s="3" t="s">
        <v>10</v>
      </c>
      <c r="B166" s="3"/>
      <c r="C166" s="4">
        <v>123680</v>
      </c>
      <c r="D166" s="5" t="s">
        <v>244</v>
      </c>
      <c r="E166" s="6">
        <v>45658</v>
      </c>
      <c r="F166" s="6"/>
      <c r="G166" s="5" t="s">
        <v>36</v>
      </c>
      <c r="H166" s="4" t="s">
        <v>23</v>
      </c>
      <c r="I166" s="4" t="s">
        <v>13</v>
      </c>
      <c r="J166" s="8">
        <v>44211</v>
      </c>
      <c r="K166" s="8" t="s">
        <v>63</v>
      </c>
      <c r="L166" s="5" t="s">
        <v>14</v>
      </c>
      <c r="M166" s="5" t="s">
        <v>35</v>
      </c>
      <c r="N166" s="5">
        <v>0</v>
      </c>
      <c r="O166" s="9">
        <f>YEAR(Table2[[#This Row],[Date of Joining]])</f>
        <v>2025</v>
      </c>
      <c r="P166" s="9" t="str">
        <f t="shared" ca="1" si="2"/>
        <v>1+ years</v>
      </c>
    </row>
    <row r="167" spans="1:16" x14ac:dyDescent="0.25">
      <c r="A167" s="3" t="s">
        <v>1</v>
      </c>
      <c r="B167" s="3"/>
      <c r="C167" s="4">
        <v>136555</v>
      </c>
      <c r="D167" s="5" t="s">
        <v>245</v>
      </c>
      <c r="E167" s="6">
        <v>45662</v>
      </c>
      <c r="F167" s="6"/>
      <c r="G167" s="5" t="s">
        <v>36</v>
      </c>
      <c r="H167" s="4" t="s">
        <v>23</v>
      </c>
      <c r="I167" s="4" t="s">
        <v>19</v>
      </c>
      <c r="J167" s="8">
        <v>44472</v>
      </c>
      <c r="K167" s="8" t="s">
        <v>66</v>
      </c>
      <c r="L167" s="5" t="s">
        <v>25</v>
      </c>
      <c r="M167" s="5" t="s">
        <v>15</v>
      </c>
      <c r="N167" s="5">
        <v>5</v>
      </c>
      <c r="O167" s="9">
        <f>YEAR(Table2[[#This Row],[Date of Joining]])</f>
        <v>2025</v>
      </c>
      <c r="P167" s="9" t="str">
        <f t="shared" ca="1" si="2"/>
        <v>1+ years</v>
      </c>
    </row>
    <row r="168" spans="1:16" x14ac:dyDescent="0.25">
      <c r="A168" s="3" t="s">
        <v>1</v>
      </c>
      <c r="B168" s="3"/>
      <c r="C168" s="4">
        <v>109886</v>
      </c>
      <c r="D168" s="5" t="s">
        <v>246</v>
      </c>
      <c r="E168" s="6">
        <v>45664</v>
      </c>
      <c r="F168" s="6"/>
      <c r="G168" s="5" t="s">
        <v>36</v>
      </c>
      <c r="H168" s="4" t="s">
        <v>23</v>
      </c>
      <c r="I168" s="4" t="s">
        <v>13</v>
      </c>
      <c r="J168" s="8">
        <v>44540</v>
      </c>
      <c r="K168" s="8" t="s">
        <v>66</v>
      </c>
      <c r="L168" s="5" t="s">
        <v>25</v>
      </c>
      <c r="M168" s="5" t="s">
        <v>35</v>
      </c>
      <c r="N168" s="5">
        <v>14</v>
      </c>
      <c r="O168" s="9">
        <f>YEAR(Table2[[#This Row],[Date of Joining]])</f>
        <v>2025</v>
      </c>
      <c r="P168" s="9" t="str">
        <f t="shared" ca="1" si="2"/>
        <v>1+ years</v>
      </c>
    </row>
    <row r="169" spans="1:16" x14ac:dyDescent="0.25">
      <c r="A169" s="3" t="s">
        <v>1</v>
      </c>
      <c r="B169" s="3"/>
      <c r="C169" s="4">
        <v>135596</v>
      </c>
      <c r="D169" s="5" t="s">
        <v>247</v>
      </c>
      <c r="E169" s="6">
        <v>45671</v>
      </c>
      <c r="F169" s="6"/>
      <c r="G169" s="5" t="s">
        <v>33</v>
      </c>
      <c r="H169" s="4" t="s">
        <v>23</v>
      </c>
      <c r="I169" s="4" t="s">
        <v>19</v>
      </c>
      <c r="J169" s="8">
        <v>44269</v>
      </c>
      <c r="K169" s="8" t="s">
        <v>63</v>
      </c>
      <c r="L169" s="5" t="s">
        <v>20</v>
      </c>
      <c r="M169" s="5" t="s">
        <v>35</v>
      </c>
      <c r="N169" s="5">
        <v>0</v>
      </c>
      <c r="O169" s="9">
        <f>YEAR(Table2[[#This Row],[Date of Joining]])</f>
        <v>2025</v>
      </c>
      <c r="P169" s="9" t="str">
        <f t="shared" ca="1" si="2"/>
        <v>1+ years</v>
      </c>
    </row>
    <row r="170" spans="1:16" x14ac:dyDescent="0.25">
      <c r="A170" s="3" t="s">
        <v>1</v>
      </c>
      <c r="B170" s="3"/>
      <c r="C170" s="4">
        <v>102045</v>
      </c>
      <c r="D170" s="5" t="s">
        <v>248</v>
      </c>
      <c r="E170" s="6">
        <v>45720</v>
      </c>
      <c r="F170" s="6"/>
      <c r="G170" s="7" t="s">
        <v>16</v>
      </c>
      <c r="H170" s="4" t="s">
        <v>23</v>
      </c>
      <c r="I170" s="4" t="s">
        <v>13</v>
      </c>
      <c r="J170" s="8">
        <v>44216</v>
      </c>
      <c r="K170" s="8" t="s">
        <v>63</v>
      </c>
      <c r="L170" s="5" t="s">
        <v>25</v>
      </c>
      <c r="M170" s="5" t="s">
        <v>15</v>
      </c>
      <c r="N170" s="5">
        <v>17</v>
      </c>
      <c r="O170" s="9">
        <f>YEAR(Table2[[#This Row],[Date of Joining]])</f>
        <v>2025</v>
      </c>
      <c r="P170" s="9" t="str">
        <f t="shared" ca="1" si="2"/>
        <v>1+ years</v>
      </c>
    </row>
    <row r="171" spans="1:16" x14ac:dyDescent="0.25">
      <c r="A171" s="3" t="s">
        <v>1</v>
      </c>
      <c r="B171" s="3"/>
      <c r="C171" s="4">
        <v>137966</v>
      </c>
      <c r="D171" s="5" t="s">
        <v>249</v>
      </c>
      <c r="E171" s="6">
        <v>45852</v>
      </c>
      <c r="F171" s="6"/>
      <c r="G171" s="7" t="s">
        <v>16</v>
      </c>
      <c r="H171" s="4" t="s">
        <v>23</v>
      </c>
      <c r="I171" s="4" t="s">
        <v>19</v>
      </c>
      <c r="J171" s="8">
        <v>44507</v>
      </c>
      <c r="K171" s="8" t="s">
        <v>66</v>
      </c>
      <c r="L171" s="5" t="s">
        <v>20</v>
      </c>
      <c r="M171" s="5" t="s">
        <v>35</v>
      </c>
      <c r="N171" s="5">
        <v>9</v>
      </c>
      <c r="O171" s="9">
        <f>YEAR(Table2[[#This Row],[Date of Joining]])</f>
        <v>2025</v>
      </c>
      <c r="P171" s="9" t="str">
        <f t="shared" ca="1" si="2"/>
        <v>1+ years</v>
      </c>
    </row>
    <row r="172" spans="1:16" x14ac:dyDescent="0.25">
      <c r="A172" s="3" t="s">
        <v>1</v>
      </c>
      <c r="B172" s="3"/>
      <c r="C172" s="4">
        <v>146341</v>
      </c>
      <c r="D172" s="5" t="s">
        <v>250</v>
      </c>
      <c r="E172" s="6">
        <v>45857</v>
      </c>
      <c r="F172" s="6"/>
      <c r="G172" s="7" t="s">
        <v>16</v>
      </c>
      <c r="H172" s="4" t="s">
        <v>23</v>
      </c>
      <c r="I172" s="4" t="s">
        <v>13</v>
      </c>
      <c r="J172" s="8">
        <v>44220</v>
      </c>
      <c r="K172" s="8" t="s">
        <v>66</v>
      </c>
      <c r="L172" s="5" t="s">
        <v>20</v>
      </c>
      <c r="M172" s="5" t="s">
        <v>35</v>
      </c>
      <c r="N172" s="5">
        <v>13</v>
      </c>
      <c r="O172" s="9">
        <f>YEAR(Table2[[#This Row],[Date of Joining]])</f>
        <v>2025</v>
      </c>
      <c r="P172" s="9" t="str">
        <f t="shared" ca="1" si="2"/>
        <v>1+ years</v>
      </c>
    </row>
  </sheetData>
  <conditionalFormatting sqref="A2:A172 H2:P51 C2:E172 G12 G20 G28 G52:P52 H53:P53 G54:P55 H56:P56 G57:P57 H58:P58 G59:P60 H61:P62 G63:P63 H64:P66 G67:P70 H71:P71 G72:P74 H75:P75 G76:P77 H78:P79 G80:P80 H81:P82 G83:P84 H85:P85 G86:P88 H89:P89 G90:P102 H103:P103 G104:P108 H109:P109 G110:P113 H114:P114 G115:P125 H126:P126 G127:P131 H132:P132 G133:P134 H135:P135 G136:P136 H137:P137 G138:P139 H140:P140 G141:P143 H144:P172">
    <cfRule type="containsBlanks" dxfId="43" priority="28">
      <formula>LEN(TRIM(A2))=0</formula>
    </cfRule>
  </conditionalFormatting>
  <conditionalFormatting sqref="A2:A172">
    <cfRule type="cellIs" dxfId="42" priority="21" operator="equal">
      <formula>"Open Position"</formula>
    </cfRule>
  </conditionalFormatting>
  <conditionalFormatting sqref="E46">
    <cfRule type="containsBlanks" dxfId="41" priority="26">
      <formula>LEN(TRIM(E46))=0</formula>
    </cfRule>
  </conditionalFormatting>
  <conditionalFormatting sqref="G2:G4">
    <cfRule type="containsBlanks" dxfId="40" priority="18">
      <formula>LEN(TRIM(G2))=0</formula>
    </cfRule>
  </conditionalFormatting>
  <conditionalFormatting sqref="G7">
    <cfRule type="containsBlanks" dxfId="39" priority="14">
      <formula>LEN(TRIM(G7))=0</formula>
    </cfRule>
  </conditionalFormatting>
  <conditionalFormatting sqref="G33">
    <cfRule type="containsBlanks" dxfId="38" priority="25">
      <formula>LEN(TRIM(G33))=0</formula>
    </cfRule>
  </conditionalFormatting>
  <conditionalFormatting sqref="G37:G38">
    <cfRule type="containsBlanks" dxfId="37" priority="5">
      <formula>LEN(TRIM(G37))=0</formula>
    </cfRule>
  </conditionalFormatting>
  <conditionalFormatting sqref="G46:G47">
    <cfRule type="containsBlanks" dxfId="36" priority="15">
      <formula>LEN(TRIM(G46))=0</formula>
    </cfRule>
  </conditionalFormatting>
  <conditionalFormatting sqref="G49">
    <cfRule type="containsBlanks" dxfId="35" priority="16">
      <formula>LEN(TRIM(G49))=0</formula>
    </cfRule>
  </conditionalFormatting>
  <conditionalFormatting sqref="G51">
    <cfRule type="containsBlanks" dxfId="34" priority="17">
      <formula>LEN(TRIM(G51))=0</formula>
    </cfRule>
  </conditionalFormatting>
  <conditionalFormatting sqref="G56">
    <cfRule type="containsBlanks" dxfId="33" priority="13">
      <formula>LEN(TRIM(G56))=0</formula>
    </cfRule>
  </conditionalFormatting>
  <conditionalFormatting sqref="G64">
    <cfRule type="containsBlanks" dxfId="32" priority="6">
      <formula>LEN(TRIM(G64))=0</formula>
    </cfRule>
  </conditionalFormatting>
  <conditionalFormatting sqref="G71">
    <cfRule type="containsBlanks" dxfId="31" priority="12">
      <formula>LEN(TRIM(G71))=0</formula>
    </cfRule>
  </conditionalFormatting>
  <conditionalFormatting sqref="G75">
    <cfRule type="containsBlanks" dxfId="30" priority="11">
      <formula>LEN(TRIM(G75))=0</formula>
    </cfRule>
  </conditionalFormatting>
  <conditionalFormatting sqref="G78:G79">
    <cfRule type="containsBlanks" dxfId="29" priority="4">
      <formula>LEN(TRIM(G78))=0</formula>
    </cfRule>
  </conditionalFormatting>
  <conditionalFormatting sqref="G85">
    <cfRule type="containsBlanks" dxfId="28" priority="3">
      <formula>LEN(TRIM(G85))=0</formula>
    </cfRule>
  </conditionalFormatting>
  <conditionalFormatting sqref="G132">
    <cfRule type="containsBlanks" dxfId="27" priority="8">
      <formula>LEN(TRIM(G132))=0</formula>
    </cfRule>
  </conditionalFormatting>
  <conditionalFormatting sqref="G137">
    <cfRule type="containsBlanks" dxfId="26" priority="9">
      <formula>LEN(TRIM(G137))=0</formula>
    </cfRule>
  </conditionalFormatting>
  <conditionalFormatting sqref="G140">
    <cfRule type="containsBlanks" dxfId="25" priority="2">
      <formula>LEN(TRIM(G140))=0</formula>
    </cfRule>
  </conditionalFormatting>
  <conditionalFormatting sqref="G144:G145">
    <cfRule type="containsBlanks" dxfId="24" priority="1">
      <formula>LEN(TRIM(G144))=0</formula>
    </cfRule>
  </conditionalFormatting>
  <conditionalFormatting sqref="G147 G150">
    <cfRule type="containsBlanks" dxfId="23" priority="7">
      <formula>LEN(TRIM(G147))=0</formula>
    </cfRule>
  </conditionalFormatting>
  <conditionalFormatting sqref="G156:G161">
    <cfRule type="containsBlanks" dxfId="22" priority="10">
      <formula>LEN(TRIM(G156))=0</formula>
    </cfRule>
  </conditionalFormatting>
  <conditionalFormatting sqref="G170">
    <cfRule type="containsBlanks" dxfId="21" priority="19">
      <formula>LEN(TRIM(G170))=0</formula>
    </cfRule>
  </conditionalFormatting>
  <conditionalFormatting sqref="M39 M67 M84 M97 M111 M113 M115 M122 M129 M132:M133">
    <cfRule type="containsBlanks" dxfId="20" priority="27">
      <formula>LEN(TRIM(M39))=0</formula>
    </cfRule>
  </conditionalFormatting>
  <hyperlinks>
    <hyperlink ref="D96" r:id="rId1" display="Prashantha.S@otis.com" xr:uid="{32945571-D028-4147-AEFC-1AC049F3F737}"/>
    <hyperlink ref="D13" r:id="rId2" display="Ishwarya.S@otis.com" xr:uid="{A2E5EEF4-DCF0-451D-BE90-0D9C27CABDF9}"/>
    <hyperlink ref="D124" r:id="rId3" display="vijay.patil@otis.com" xr:uid="{BB925652-F33F-4465-929F-42E3B621CE18}"/>
  </hyperlinks>
  <pageMargins left="0.7" right="0.7" top="0.75" bottom="0.75" header="0.3" footer="0.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 Dashboard</vt:lpstr>
      <vt:lpstr>Pivot Table</vt:lpstr>
      <vt:lpstr>Employee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Shiva kumar N</dc:creator>
  <cp:keywords/>
  <dc:description/>
  <cp:lastModifiedBy>adnan ansari</cp:lastModifiedBy>
  <cp:revision/>
  <dcterms:created xsi:type="dcterms:W3CDTF">2025-11-28T13:26:08Z</dcterms:created>
  <dcterms:modified xsi:type="dcterms:W3CDTF">2026-10-14T12:03:34Z</dcterms:modified>
  <cp:category/>
  <cp:contentStatus/>
</cp:coreProperties>
</file>